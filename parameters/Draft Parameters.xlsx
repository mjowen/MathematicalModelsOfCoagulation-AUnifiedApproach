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uob-my.sharepoint.com/personal/qr24461_bristol_ac_uk/Documents/Code/MathematicalModelsOfCoagulation-AUnifiedApproach/parameters/"/>
    </mc:Choice>
  </mc:AlternateContent>
  <xr:revisionPtr revIDLastSave="45" documentId="8_{413EEEE6-596B-FE44-89D0-C217B28D97A6}" xr6:coauthVersionLast="47" xr6:coauthVersionMax="47" xr10:uidLastSave="{606F2093-18CE-264D-B729-FC5A1C797FDD}"/>
  <bookViews>
    <workbookView xWindow="0" yWindow="600" windowWidth="38400" windowHeight="19260" autoFilterDateGrouping="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0" i="2" l="1"/>
  <c r="H62" i="2"/>
  <c r="B68" i="2"/>
  <c r="B69" i="2"/>
  <c r="B59" i="2"/>
  <c r="I63" i="2"/>
  <c r="B89" i="2"/>
  <c r="B88" i="2"/>
  <c r="B87" i="2"/>
  <c r="B86" i="2"/>
  <c r="B109" i="2"/>
  <c r="B110" i="2"/>
  <c r="B107" i="2"/>
  <c r="B99" i="2"/>
  <c r="B100" i="2"/>
  <c r="B101" i="2"/>
  <c r="B102" i="2"/>
  <c r="B103" i="2"/>
  <c r="B104" i="2"/>
  <c r="B105" i="2"/>
  <c r="B106" i="2"/>
  <c r="B98" i="2"/>
  <c r="B97" i="2"/>
  <c r="B91" i="2"/>
  <c r="B92" i="2"/>
  <c r="B93" i="2"/>
  <c r="B94" i="2"/>
  <c r="B95" i="2"/>
  <c r="B96" i="2"/>
  <c r="B90" i="2"/>
  <c r="B81" i="2"/>
  <c r="B79" i="2"/>
  <c r="B85" i="2"/>
  <c r="B84" i="2"/>
  <c r="B83" i="2"/>
  <c r="B82" i="2"/>
  <c r="B77" i="2"/>
  <c r="B74" i="2"/>
  <c r="B71" i="2"/>
  <c r="B65" i="2"/>
  <c r="B78" i="2"/>
  <c r="B75" i="2"/>
  <c r="B72" i="2"/>
  <c r="B66" i="2"/>
  <c r="B63" i="2"/>
  <c r="B61" i="2"/>
  <c r="B58" i="2"/>
  <c r="B62" i="2"/>
  <c r="B56" i="2"/>
  <c r="B54" i="2"/>
  <c r="B51" i="2"/>
  <c r="B55" i="2"/>
  <c r="B52" i="2"/>
  <c r="B49" i="2"/>
  <c r="B48" i="2"/>
  <c r="B47" i="2"/>
  <c r="B46" i="2"/>
  <c r="B44" i="2"/>
  <c r="B41" i="2"/>
  <c r="B38" i="2"/>
  <c r="B35" i="2"/>
  <c r="B32" i="2"/>
  <c r="B29" i="2"/>
  <c r="B45" i="2"/>
  <c r="B42" i="2"/>
  <c r="B39" i="2"/>
  <c r="B36" i="2"/>
  <c r="B33" i="2"/>
  <c r="B30" i="2"/>
  <c r="B27" i="2"/>
  <c r="B25" i="2"/>
  <c r="B22" i="2"/>
  <c r="B19" i="2"/>
  <c r="B16" i="2"/>
  <c r="B13" i="2"/>
  <c r="B10" i="2"/>
  <c r="B26" i="2"/>
  <c r="B23" i="2"/>
  <c r="B20" i="2"/>
  <c r="B17" i="2"/>
  <c r="B14" i="2"/>
  <c r="B11" i="2"/>
  <c r="B7" i="2"/>
  <c r="B8" i="2"/>
  <c r="B5" i="2"/>
  <c r="B4" i="2"/>
  <c r="B3" i="2"/>
  <c r="B2" i="2"/>
  <c r="H36" i="2"/>
  <c r="H45" i="2"/>
  <c r="I45" i="2"/>
  <c r="H44" i="2"/>
  <c r="I44" i="2"/>
  <c r="H43" i="2"/>
  <c r="I43" i="2"/>
  <c r="H42" i="2"/>
  <c r="I4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6" i="2"/>
  <c r="I47" i="2"/>
  <c r="I48" i="2"/>
  <c r="I49" i="2"/>
  <c r="I50" i="2"/>
  <c r="I51" i="2"/>
  <c r="I52" i="2"/>
  <c r="I53" i="2"/>
  <c r="I54" i="2"/>
  <c r="I55" i="2"/>
  <c r="I56" i="2"/>
  <c r="I60" i="2"/>
  <c r="I61" i="2"/>
  <c r="I62" i="2"/>
  <c r="I64" i="2"/>
  <c r="I65" i="2"/>
  <c r="I66" i="2"/>
  <c r="I67" i="2"/>
  <c r="I68" i="2"/>
  <c r="I69" i="2"/>
  <c r="I70" i="2"/>
  <c r="I71" i="2"/>
  <c r="I72" i="2"/>
  <c r="I73" i="2"/>
  <c r="I74" i="2"/>
  <c r="I75" i="2"/>
  <c r="I57" i="2"/>
  <c r="I58" i="2"/>
  <c r="I59" i="2"/>
  <c r="I86" i="2"/>
  <c r="I87" i="2"/>
  <c r="I76" i="2"/>
  <c r="I77" i="2"/>
  <c r="I78" i="2"/>
  <c r="I79" i="2"/>
  <c r="I80" i="2"/>
  <c r="I81" i="2"/>
  <c r="I82" i="2"/>
  <c r="I83" i="2"/>
  <c r="I84" i="2"/>
  <c r="I85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7" i="2"/>
  <c r="H38" i="2"/>
  <c r="H39" i="2"/>
  <c r="H40" i="2"/>
  <c r="H41" i="2"/>
  <c r="H46" i="2"/>
  <c r="H47" i="2"/>
  <c r="H48" i="2"/>
  <c r="H49" i="2"/>
  <c r="H50" i="2"/>
  <c r="H51" i="2"/>
  <c r="H52" i="2"/>
  <c r="H53" i="2"/>
  <c r="H54" i="2"/>
  <c r="H55" i="2"/>
  <c r="H56" i="2"/>
  <c r="H60" i="2"/>
  <c r="H61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57" i="2"/>
  <c r="H58" i="2"/>
  <c r="H59" i="2"/>
  <c r="H86" i="2"/>
  <c r="H87" i="2"/>
  <c r="H76" i="2"/>
  <c r="H77" i="2"/>
  <c r="H78" i="2"/>
  <c r="H79" i="2"/>
  <c r="H80" i="2"/>
  <c r="H81" i="2"/>
  <c r="H82" i="2"/>
  <c r="H83" i="2"/>
  <c r="H84" i="2"/>
  <c r="H85" i="2"/>
  <c r="H2" i="2"/>
  <c r="H3" i="2"/>
  <c r="I2" i="2"/>
  <c r="H4" i="2"/>
</calcChain>
</file>

<file path=xl/sharedStrings.xml><?xml version="1.0" encoding="utf-8"?>
<sst xmlns="http://schemas.openxmlformats.org/spreadsheetml/2006/main" count="255" uniqueCount="227">
  <si>
    <t>TF VII ass</t>
  </si>
  <si>
    <t>TF VII dis</t>
  </si>
  <si>
    <t>TF VIIa ass</t>
  </si>
  <si>
    <t>TF VIIa dis</t>
  </si>
  <si>
    <t>Km VII by Xa</t>
  </si>
  <si>
    <t>kcat VII by Xa</t>
  </si>
  <si>
    <t>Km TFVII by Xa</t>
  </si>
  <si>
    <t>kcat TFVII by Xa</t>
  </si>
  <si>
    <t>kcat VII by Iia</t>
  </si>
  <si>
    <t>kcat TFVII by Iia</t>
  </si>
  <si>
    <t>kcat VII by Ixa</t>
  </si>
  <si>
    <t>kcat TFVII by Ixa</t>
  </si>
  <si>
    <t>Km VII by TFVIIa</t>
  </si>
  <si>
    <t>kcat VII by TFVIIa</t>
  </si>
  <si>
    <t>TFVIIa AT</t>
  </si>
  <si>
    <t>Km X by TFVIIa</t>
  </si>
  <si>
    <t>kcat X by TFVIIa</t>
  </si>
  <si>
    <t>Km X by VIIa</t>
  </si>
  <si>
    <t>kcat X by VIIa</t>
  </si>
  <si>
    <t>Km X by IXaVIIIa</t>
  </si>
  <si>
    <t>kcat X by IXaVIIIa</t>
  </si>
  <si>
    <t>kcat X by Ixa</t>
  </si>
  <si>
    <t>kcat V by Iia</t>
  </si>
  <si>
    <t>Km V by Xa</t>
  </si>
  <si>
    <t>kcat V by Xa</t>
  </si>
  <si>
    <t>Xa Va ass</t>
  </si>
  <si>
    <t>Xa Va dis</t>
  </si>
  <si>
    <t>Xa AT</t>
  </si>
  <si>
    <t>XaVa AT</t>
  </si>
  <si>
    <t>Km II by Xa</t>
  </si>
  <si>
    <t>kcat II by Xa</t>
  </si>
  <si>
    <t>Km II by XaVa</t>
  </si>
  <si>
    <t>kcat II by XaVa</t>
  </si>
  <si>
    <t>Iia AT</t>
  </si>
  <si>
    <t>kcat XI by Iia</t>
  </si>
  <si>
    <t>Km XI by XIa</t>
  </si>
  <si>
    <t>kcat XI by XIa</t>
  </si>
  <si>
    <t>XIa AT</t>
  </si>
  <si>
    <t>Km IX by TFVIIa</t>
  </si>
  <si>
    <t>kcat IX by TFVIIa</t>
  </si>
  <si>
    <t>Km IX by VIIa</t>
  </si>
  <si>
    <t>kcat IX by VIIa</t>
  </si>
  <si>
    <t>Km IX by XIa</t>
  </si>
  <si>
    <t>kcat IX by XIa</t>
  </si>
  <si>
    <t>kcat VIII by Iia</t>
  </si>
  <si>
    <t>Km VIII by Xa</t>
  </si>
  <si>
    <t>kcat VIII by Xa</t>
  </si>
  <si>
    <t>Ixa VIIIa ass</t>
  </si>
  <si>
    <t>Ixa VIIIa dis</t>
  </si>
  <si>
    <t>Ixa AT</t>
  </si>
  <si>
    <t>IXaVIIIa AT</t>
  </si>
  <si>
    <t>Xa TFPI ass</t>
  </si>
  <si>
    <t>Xa TFPI dis</t>
  </si>
  <si>
    <t>TFVIIa XaTFPI ass</t>
  </si>
  <si>
    <t>TFVIIa XaTFPI dis</t>
  </si>
  <si>
    <t>k+ VII by Xa</t>
  </si>
  <si>
    <t>k- VII by Xa</t>
  </si>
  <si>
    <t>k+ TFVII by Xa</t>
  </si>
  <si>
    <t>k- TFVII by Xa</t>
  </si>
  <si>
    <t>k+ VII by Iia</t>
  </si>
  <si>
    <t>k- VII by Iia</t>
  </si>
  <si>
    <t>k+ TFVII by Iia</t>
  </si>
  <si>
    <t>k- TFVII by Iia</t>
  </si>
  <si>
    <t>k+ VII by Ixa</t>
  </si>
  <si>
    <t>k- VII by Ixa</t>
  </si>
  <si>
    <t>k+ TFVII by Ixa</t>
  </si>
  <si>
    <t>k- TFVII by Ixa</t>
  </si>
  <si>
    <t>k+ VII by TFVIIa</t>
  </si>
  <si>
    <t>k- VII by TFVIIa</t>
  </si>
  <si>
    <t>k+ X by TFVIIa</t>
  </si>
  <si>
    <t>k- X by TFVIIa</t>
  </si>
  <si>
    <t>k+ X by VIIa</t>
  </si>
  <si>
    <t>k- X by VIIa</t>
  </si>
  <si>
    <t>k+ X by IXaVIIIa</t>
  </si>
  <si>
    <t>k- X by IXaVIIIa</t>
  </si>
  <si>
    <t>k+ X by Ixa</t>
  </si>
  <si>
    <t>k- X by Ixa</t>
  </si>
  <si>
    <t>k+ V by Iia</t>
  </si>
  <si>
    <t>k- V by Iia</t>
  </si>
  <si>
    <t>k+ V by Xa</t>
  </si>
  <si>
    <t>k- V by Xa</t>
  </si>
  <si>
    <t>k+ II by Xa</t>
  </si>
  <si>
    <t>k- II by Xa</t>
  </si>
  <si>
    <t>k+ II by XaVa</t>
  </si>
  <si>
    <t>k- II by XaVa</t>
  </si>
  <si>
    <t>k+ XI by Iia</t>
  </si>
  <si>
    <t>k- XI by Iia</t>
  </si>
  <si>
    <t>k+ XI by XIa</t>
  </si>
  <si>
    <t>k- XI by XIa</t>
  </si>
  <si>
    <t>k+ IX by TFVIIa</t>
  </si>
  <si>
    <t>k- IX by TFVIIa</t>
  </si>
  <si>
    <t>k+ IX by VIIa</t>
  </si>
  <si>
    <t>k- IX by VIIa</t>
  </si>
  <si>
    <t>k+ IX by XIa</t>
  </si>
  <si>
    <t>k- IX by XIa</t>
  </si>
  <si>
    <t>k+ VIII by Iia</t>
  </si>
  <si>
    <t>k- VIII by Iia</t>
  </si>
  <si>
    <t>k+ VIII by Xa</t>
  </si>
  <si>
    <t>k- VIII by Xa</t>
  </si>
  <si>
    <t>k+ Iia substrate</t>
  </si>
  <si>
    <t>k- Iia substrate</t>
  </si>
  <si>
    <t>kcat Iia substrate</t>
  </si>
  <si>
    <t>Index</t>
  </si>
  <si>
    <t>Kd TF VII</t>
  </si>
  <si>
    <t>Kd TF VIIa</t>
  </si>
  <si>
    <t>Kd Xa Va</t>
  </si>
  <si>
    <t>mean</t>
  </si>
  <si>
    <t>std</t>
  </si>
  <si>
    <t>k+ TF VII</t>
  </si>
  <si>
    <t>k+ TF VIIa</t>
  </si>
  <si>
    <t>k+ Xa Va</t>
  </si>
  <si>
    <t>k+ Xa TFPI</t>
  </si>
  <si>
    <t>Kd Xa TFPI</t>
  </si>
  <si>
    <t>Kd TFVIIa XaTFPI</t>
  </si>
  <si>
    <t>k+ TFVIIa XaTFPI</t>
  </si>
  <si>
    <t>Iia a1AT</t>
  </si>
  <si>
    <t>Xa a1AT</t>
  </si>
  <si>
    <t>XaVa a1AT</t>
  </si>
  <si>
    <t>XIa a1AT</t>
  </si>
  <si>
    <t>XIa a2AP</t>
  </si>
  <si>
    <t>IIa a2M</t>
  </si>
  <si>
    <t>XIa C1inh</t>
  </si>
  <si>
    <t>XIa PAI1</t>
  </si>
  <si>
    <t>k+ Ixa:VIIIa Break</t>
  </si>
  <si>
    <t>k+ VIIIa break</t>
  </si>
  <si>
    <t>k- VIIIa break</t>
  </si>
  <si>
    <t>Fbg Iia ass</t>
  </si>
  <si>
    <t>Fbg Iia dis</t>
  </si>
  <si>
    <t>Fbg Iia kcat</t>
  </si>
  <si>
    <t>Fbn1 Iia ass</t>
  </si>
  <si>
    <t>Fbn1 Iia dis</t>
  </si>
  <si>
    <t>Fbn1 Iia kcat</t>
  </si>
  <si>
    <t>Fbn2 Iia ass</t>
  </si>
  <si>
    <t>Fbn2 Iia dis</t>
  </si>
  <si>
    <t>Fbn1:Iia AT</t>
  </si>
  <si>
    <t>Fbn2:Iia AT</t>
  </si>
  <si>
    <t>Source Count</t>
  </si>
  <si>
    <t>How many experiemental values</t>
  </si>
  <si>
    <t>Km VII by IIa</t>
  </si>
  <si>
    <t>kcat VII by IIa</t>
  </si>
  <si>
    <t>Km TFVII by IIa</t>
  </si>
  <si>
    <t>kcat TFVII by IIa</t>
  </si>
  <si>
    <t>Km VII by IXa</t>
  </si>
  <si>
    <t>kcat VII by IXa</t>
  </si>
  <si>
    <t>Km TFVII by IXa</t>
  </si>
  <si>
    <t>kcat TFVII by IXa</t>
  </si>
  <si>
    <t>Km X by IXa</t>
  </si>
  <si>
    <t>kcat X by IXa</t>
  </si>
  <si>
    <t>Km V by IIa</t>
  </si>
  <si>
    <t>kcat V by IIa</t>
  </si>
  <si>
    <t>IIa AT</t>
  </si>
  <si>
    <t>Km XI by IIa</t>
  </si>
  <si>
    <t>kcat XI by IIa</t>
  </si>
  <si>
    <t>Km VIII by IIa</t>
  </si>
  <si>
    <t>kcat VIII by IIa</t>
  </si>
  <si>
    <t>Kd IXa VIIIa</t>
  </si>
  <si>
    <t>k+ IXa VIIIa</t>
  </si>
  <si>
    <t>IXa AT</t>
  </si>
  <si>
    <t>IIa a1AT</t>
  </si>
  <si>
    <t>Fbn1:IIa AT</t>
  </si>
  <si>
    <t>Fbn2:IIa AT</t>
  </si>
  <si>
    <t>Km IIa substrate</t>
  </si>
  <si>
    <t>kcat IIa substrate</t>
  </si>
  <si>
    <t>kcat Fbg IIa</t>
  </si>
  <si>
    <t>TF+VII</t>
  </si>
  <si>
    <t>TF+VIIa</t>
  </si>
  <si>
    <t>VII by Xa</t>
  </si>
  <si>
    <t>Substrate by IIa</t>
  </si>
  <si>
    <t>TFVII by Xa</t>
  </si>
  <si>
    <t>VII by IIa</t>
  </si>
  <si>
    <t>TFVII by IIa</t>
  </si>
  <si>
    <t>VII by IXa</t>
  </si>
  <si>
    <t>TFVII by IXa</t>
  </si>
  <si>
    <t>VII by TFVIIa</t>
  </si>
  <si>
    <t>X by TFVIIa</t>
  </si>
  <si>
    <t>X by VIIa</t>
  </si>
  <si>
    <t>X by IXaVIIIa</t>
  </si>
  <si>
    <t>X by IXa</t>
  </si>
  <si>
    <t>V by IIa</t>
  </si>
  <si>
    <t>V by Xa</t>
  </si>
  <si>
    <t>II by Xa</t>
  </si>
  <si>
    <t>II by XaVa</t>
  </si>
  <si>
    <t>XI by IIa</t>
  </si>
  <si>
    <t>XI by XIa</t>
  </si>
  <si>
    <t>IX by TFVIIa</t>
  </si>
  <si>
    <t>IX by VIIa</t>
  </si>
  <si>
    <t>IX by XIa</t>
  </si>
  <si>
    <t>VIII by IIa</t>
  </si>
  <si>
    <t>VIII by Xa</t>
  </si>
  <si>
    <t>Fbg by IIa</t>
  </si>
  <si>
    <t>Fbn1 by IIa</t>
  </si>
  <si>
    <t>TFVIIa+AT</t>
  </si>
  <si>
    <t>Xa+Va</t>
  </si>
  <si>
    <t>Xa+AT</t>
  </si>
  <si>
    <t>Xa:Va+AT</t>
  </si>
  <si>
    <t>IIa+AT</t>
  </si>
  <si>
    <t>XIa+AT</t>
  </si>
  <si>
    <t>VIIIa deg</t>
  </si>
  <si>
    <t>IXa:VIIIa deg</t>
  </si>
  <si>
    <t>IXa+VIIIa</t>
  </si>
  <si>
    <t>IXa+AT</t>
  </si>
  <si>
    <t>IXa:VIIIa+AT</t>
  </si>
  <si>
    <t>Xa+TFPI</t>
  </si>
  <si>
    <t>TF:VIIa+Xa:TFPI</t>
  </si>
  <si>
    <t>Xa+a1AT</t>
  </si>
  <si>
    <t>XIa+a1AT</t>
  </si>
  <si>
    <t>XIa+a2AP</t>
  </si>
  <si>
    <t>XIa+C1inh</t>
  </si>
  <si>
    <t>XIa+PAI1</t>
  </si>
  <si>
    <t>Fbn2 IIa</t>
  </si>
  <si>
    <t>IIa+a2M</t>
  </si>
  <si>
    <t>IIa+a1AT</t>
  </si>
  <si>
    <t>Xa:Va+a1AT</t>
  </si>
  <si>
    <t>k+ Fbg IIa</t>
  </si>
  <si>
    <t>kcat Fbn1 IIa</t>
  </si>
  <si>
    <t>k+ Fbn1 IIa</t>
  </si>
  <si>
    <t>k- Fbn1 IIa</t>
  </si>
  <si>
    <t>k- Fbg IIa</t>
  </si>
  <si>
    <t>Kd VIIIa deg</t>
  </si>
  <si>
    <t>k- IXa:VIIIa deg</t>
  </si>
  <si>
    <t>k- VIIIa deg</t>
  </si>
  <si>
    <t>k+ Fbn2 IIa</t>
  </si>
  <si>
    <t>k- Fbn2 IIa</t>
  </si>
  <si>
    <t>Mass Action Name</t>
  </si>
  <si>
    <t>Mass Action Rate (median of prior)</t>
  </si>
  <si>
    <t>Prior Form Name</t>
  </si>
  <si>
    <t>Reduced Prior Form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</si>
</sst>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1" fontId="0" fillId="0" borderId="0" xfId="0" applyNumberFormat="1"/>
    <xf numFmtId="9" fontId="0" fillId="0" borderId="0" xfId="0" applyNumberFormat="1"/>
    <xf numFmtId="2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4" borderId="0" xfId="0" applyFont="1" applyFill="1"/>
    <xf numFmtId="1" fontId="0" fillId="0" borderId="0" xfId="0" applyNumberFormat="1"/>
    <xf numFmtId="1" fontId="0" fillId="5" borderId="0" xfId="0" applyNumberFormat="1" applyFill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83BFA-1346-4EE2-9337-C55F4F97FF95}">
  <dimension ref="A1:AB162"/>
  <sheetViews>
    <sheetView tabSelected="1" showOutlineSymbols="0" showWhiteSpace="0" zoomScaleNormal="100" workbookViewId="0">
      <selection activeCell="A14" sqref="A14"/>
    </sheetView>
  </sheetViews>
  <sheetFormatPr baseColWidth="10" defaultColWidth="8.83203125" defaultRowHeight="15" x14ac:dyDescent="0.2"/>
  <cols>
    <col min="1" max="1" width="16.5" customWidth="1"/>
    <col min="2" max="3" width="9.1640625" customWidth="1"/>
    <col min="4" max="4" width="17.5" customWidth="1"/>
    <col min="5" max="7" width="9.1640625" customWidth="1"/>
    <col min="8" max="8" width="9.33203125" hidden="1" customWidth="1"/>
    <col min="9" max="9" width="10" hidden="1" customWidth="1"/>
    <col min="10" max="10" width="9.1640625" style="8" hidden="1" customWidth="1"/>
    <col min="11" max="11" width="10" style="8" hidden="1" customWidth="1"/>
    <col min="12" max="12" width="21" style="12" bestFit="1" customWidth="1"/>
    <col min="17" max="19" width="9.1640625" style="8"/>
    <col min="20" max="20" width="10.6640625" style="8" bestFit="1" customWidth="1"/>
    <col min="21" max="21" width="9.1640625" style="8"/>
    <col min="22" max="22" width="12" style="8" bestFit="1" customWidth="1"/>
    <col min="23" max="28" width="9.1640625" style="8"/>
  </cols>
  <sheetData>
    <row r="1" spans="1:28" x14ac:dyDescent="0.2">
      <c r="A1" t="s">
        <v>223</v>
      </c>
      <c r="B1" s="1" t="s">
        <v>224</v>
      </c>
      <c r="C1" t="s">
        <v>102</v>
      </c>
      <c r="D1" t="s">
        <v>225</v>
      </c>
      <c r="E1" s="2">
        <v>0.5</v>
      </c>
      <c r="F1" t="s">
        <v>106</v>
      </c>
      <c r="G1" t="s">
        <v>107</v>
      </c>
      <c r="H1" s="2">
        <v>0.05</v>
      </c>
      <c r="I1" s="2">
        <v>0.95</v>
      </c>
      <c r="J1" s="8" t="s">
        <v>136</v>
      </c>
      <c r="K1" s="8" t="s">
        <v>137</v>
      </c>
      <c r="L1" s="12" t="s">
        <v>226</v>
      </c>
      <c r="M1" s="8"/>
      <c r="N1" s="8"/>
      <c r="Q1"/>
      <c r="R1"/>
      <c r="S1"/>
      <c r="T1"/>
      <c r="U1"/>
      <c r="V1"/>
      <c r="W1"/>
      <c r="X1"/>
      <c r="Y1"/>
      <c r="Z1"/>
      <c r="AA1"/>
      <c r="AB1"/>
    </row>
    <row r="2" spans="1:28" x14ac:dyDescent="0.2">
      <c r="A2" s="4" t="s">
        <v>0</v>
      </c>
      <c r="B2" s="1">
        <f>E3</f>
        <v>125000</v>
      </c>
      <c r="C2">
        <v>1</v>
      </c>
      <c r="D2" s="4" t="s">
        <v>103</v>
      </c>
      <c r="E2" s="1">
        <v>3E-9</v>
      </c>
      <c r="F2">
        <v>-8.5299999999999994</v>
      </c>
      <c r="G2">
        <v>0.57999999999999996</v>
      </c>
      <c r="H2" s="1">
        <f t="shared" ref="H2:H3" si="0">10^($F2-1.645*G2)</f>
        <v>3.2801975507698923E-10</v>
      </c>
      <c r="I2" s="1">
        <f t="shared" ref="I2:I68" si="1">10^($F2+1.645*$G2)</f>
        <v>2.6552168778726671E-8</v>
      </c>
      <c r="J2" s="8">
        <v>3</v>
      </c>
      <c r="K2" s="8">
        <v>3</v>
      </c>
      <c r="L2" s="10" t="s">
        <v>164</v>
      </c>
      <c r="M2" s="8"/>
      <c r="N2" s="8"/>
      <c r="Q2"/>
      <c r="R2"/>
      <c r="S2"/>
      <c r="T2"/>
      <c r="U2"/>
      <c r="V2"/>
      <c r="W2"/>
      <c r="X2"/>
      <c r="Y2"/>
      <c r="Z2"/>
      <c r="AA2"/>
      <c r="AB2"/>
    </row>
    <row r="3" spans="1:28" x14ac:dyDescent="0.2">
      <c r="A3" s="4" t="s">
        <v>1</v>
      </c>
      <c r="B3" s="1">
        <f>E2*E3</f>
        <v>3.7500000000000001E-4</v>
      </c>
      <c r="C3">
        <v>2</v>
      </c>
      <c r="D3" s="4" t="s">
        <v>108</v>
      </c>
      <c r="E3" s="1">
        <v>125000</v>
      </c>
      <c r="F3">
        <v>5.0999999999999996</v>
      </c>
      <c r="G3">
        <v>0.56000000000000005</v>
      </c>
      <c r="H3" s="1">
        <f t="shared" si="0"/>
        <v>15093.848966549525</v>
      </c>
      <c r="I3" s="1">
        <f t="shared" si="1"/>
        <v>1050025.8721108846</v>
      </c>
      <c r="J3" s="8">
        <v>2</v>
      </c>
      <c r="K3" s="8">
        <v>2</v>
      </c>
      <c r="L3" s="10"/>
      <c r="M3" s="8"/>
      <c r="N3" s="8"/>
      <c r="Q3"/>
      <c r="R3"/>
      <c r="S3"/>
      <c r="T3"/>
      <c r="U3"/>
      <c r="V3"/>
      <c r="W3"/>
      <c r="X3"/>
      <c r="Y3"/>
      <c r="Z3"/>
      <c r="AA3"/>
      <c r="AB3"/>
    </row>
    <row r="4" spans="1:28" x14ac:dyDescent="0.2">
      <c r="A4" s="4" t="s">
        <v>2</v>
      </c>
      <c r="B4" s="1">
        <f>E5</f>
        <v>130000</v>
      </c>
      <c r="C4">
        <v>3</v>
      </c>
      <c r="D4" s="4" t="s">
        <v>104</v>
      </c>
      <c r="E4" s="1">
        <v>3.2000000000000001E-9</v>
      </c>
      <c r="F4">
        <v>-8.5</v>
      </c>
      <c r="G4">
        <v>0.55000000000000004</v>
      </c>
      <c r="H4" s="1">
        <f>10^($F4-1.645*G4)</f>
        <v>3.9377668630763749E-10</v>
      </c>
      <c r="I4" s="1">
        <f t="shared" si="1"/>
        <v>2.53951042499948E-8</v>
      </c>
      <c r="J4" s="8">
        <v>4</v>
      </c>
      <c r="K4" s="9">
        <v>4</v>
      </c>
      <c r="L4" s="10" t="s">
        <v>165</v>
      </c>
      <c r="M4" s="8"/>
      <c r="N4" s="8"/>
      <c r="Q4"/>
      <c r="R4"/>
      <c r="S4"/>
      <c r="T4"/>
      <c r="U4"/>
      <c r="V4"/>
      <c r="W4"/>
      <c r="X4"/>
      <c r="Y4"/>
      <c r="Z4"/>
      <c r="AA4"/>
      <c r="AB4"/>
    </row>
    <row r="5" spans="1:28" x14ac:dyDescent="0.2">
      <c r="A5" s="4" t="s">
        <v>3</v>
      </c>
      <c r="B5" s="1">
        <f>E4*E5</f>
        <v>4.1600000000000003E-4</v>
      </c>
      <c r="C5">
        <v>4</v>
      </c>
      <c r="D5" s="4" t="s">
        <v>109</v>
      </c>
      <c r="E5" s="1">
        <v>130000</v>
      </c>
      <c r="F5">
        <v>5.1100000000000003</v>
      </c>
      <c r="G5">
        <v>0.23</v>
      </c>
      <c r="H5" s="1">
        <f t="shared" ref="H5:H71" si="2">10^($F5-1.645*G5)</f>
        <v>53907.600347851119</v>
      </c>
      <c r="I5" s="1">
        <f t="shared" si="1"/>
        <v>307857.68550792517</v>
      </c>
      <c r="J5" s="8">
        <v>3</v>
      </c>
      <c r="K5" s="8">
        <v>3</v>
      </c>
      <c r="L5" s="10"/>
      <c r="M5" s="8"/>
      <c r="N5" s="8"/>
      <c r="Q5"/>
      <c r="R5"/>
      <c r="S5"/>
      <c r="T5"/>
      <c r="U5"/>
      <c r="V5"/>
      <c r="W5"/>
      <c r="X5"/>
      <c r="Y5"/>
      <c r="Z5"/>
      <c r="AA5"/>
      <c r="AB5"/>
    </row>
    <row r="6" spans="1:28" x14ac:dyDescent="0.2">
      <c r="A6" s="5" t="s">
        <v>55</v>
      </c>
      <c r="B6" s="1">
        <v>100000000</v>
      </c>
      <c r="C6">
        <v>5</v>
      </c>
      <c r="D6" s="5" t="s">
        <v>4</v>
      </c>
      <c r="E6" s="1">
        <v>1.1999999999999999E-6</v>
      </c>
      <c r="F6">
        <v>-5.92</v>
      </c>
      <c r="G6">
        <v>2.5</v>
      </c>
      <c r="H6" s="1">
        <f t="shared" si="2"/>
        <v>9.2789749012733102E-11</v>
      </c>
      <c r="I6" s="1">
        <f t="shared" si="1"/>
        <v>1.5577580348316014E-2</v>
      </c>
      <c r="J6" s="8">
        <v>1</v>
      </c>
      <c r="K6" s="9">
        <v>1</v>
      </c>
      <c r="L6" s="10" t="s">
        <v>166</v>
      </c>
      <c r="M6" s="8"/>
      <c r="N6" s="8"/>
      <c r="Q6"/>
      <c r="R6"/>
      <c r="S6"/>
      <c r="T6"/>
      <c r="U6"/>
      <c r="V6"/>
      <c r="W6"/>
      <c r="X6"/>
      <c r="Y6"/>
      <c r="Z6"/>
      <c r="AA6"/>
      <c r="AB6"/>
    </row>
    <row r="7" spans="1:28" x14ac:dyDescent="0.2">
      <c r="A7" s="5" t="s">
        <v>56</v>
      </c>
      <c r="B7" s="1">
        <f>E6*B6-E7</f>
        <v>104.8</v>
      </c>
      <c r="C7">
        <v>6</v>
      </c>
      <c r="D7" s="5" t="s">
        <v>5</v>
      </c>
      <c r="E7" s="1">
        <v>15.2</v>
      </c>
      <c r="F7">
        <v>1.18</v>
      </c>
      <c r="G7">
        <v>2.5</v>
      </c>
      <c r="H7" s="1">
        <f t="shared" si="2"/>
        <v>1.168153729861323E-3</v>
      </c>
      <c r="I7" s="1">
        <f t="shared" si="1"/>
        <v>196110.11754760495</v>
      </c>
      <c r="J7" s="8">
        <v>1</v>
      </c>
      <c r="K7" s="9">
        <v>1</v>
      </c>
      <c r="L7" s="10"/>
      <c r="M7" s="8"/>
      <c r="N7" s="8"/>
      <c r="Q7"/>
      <c r="R7"/>
      <c r="S7"/>
      <c r="T7"/>
      <c r="U7"/>
      <c r="V7"/>
      <c r="W7"/>
      <c r="X7"/>
      <c r="Y7"/>
      <c r="Z7"/>
      <c r="AA7"/>
      <c r="AB7"/>
    </row>
    <row r="8" spans="1:28" x14ac:dyDescent="0.2">
      <c r="A8" s="5" t="s">
        <v>5</v>
      </c>
      <c r="B8" s="1">
        <f>E7</f>
        <v>15.2</v>
      </c>
      <c r="C8">
        <v>7</v>
      </c>
      <c r="D8" s="5" t="s">
        <v>6</v>
      </c>
      <c r="E8" s="1">
        <v>1.05E-7</v>
      </c>
      <c r="F8">
        <v>-6.98</v>
      </c>
      <c r="G8">
        <v>1.49</v>
      </c>
      <c r="H8" s="1">
        <f t="shared" si="2"/>
        <v>3.7063804804390709E-10</v>
      </c>
      <c r="I8" s="1">
        <f t="shared" si="1"/>
        <v>2.958353039926664E-5</v>
      </c>
      <c r="J8" s="8">
        <v>2</v>
      </c>
      <c r="K8" s="8">
        <v>2</v>
      </c>
      <c r="L8" s="10" t="s">
        <v>168</v>
      </c>
      <c r="M8" s="8"/>
      <c r="N8" s="8"/>
      <c r="Q8"/>
      <c r="R8"/>
      <c r="S8"/>
      <c r="T8"/>
      <c r="U8"/>
      <c r="V8"/>
      <c r="W8"/>
      <c r="X8"/>
      <c r="Y8"/>
      <c r="Z8"/>
      <c r="AA8"/>
      <c r="AB8"/>
    </row>
    <row r="9" spans="1:28" x14ac:dyDescent="0.2">
      <c r="A9" s="5" t="s">
        <v>57</v>
      </c>
      <c r="B9" s="1">
        <v>100000000</v>
      </c>
      <c r="C9">
        <v>8</v>
      </c>
      <c r="D9" s="5" t="s">
        <v>7</v>
      </c>
      <c r="E9" s="1">
        <v>3.16</v>
      </c>
      <c r="F9">
        <v>0.5</v>
      </c>
      <c r="G9">
        <v>0.96</v>
      </c>
      <c r="H9" s="1">
        <f t="shared" si="2"/>
        <v>8.3329734863431648E-2</v>
      </c>
      <c r="I9" s="1">
        <f t="shared" si="1"/>
        <v>120.00518202042664</v>
      </c>
      <c r="J9" s="8">
        <v>2</v>
      </c>
      <c r="K9" s="8">
        <v>2</v>
      </c>
      <c r="L9" s="10"/>
      <c r="M9" s="8"/>
      <c r="N9" s="8"/>
      <c r="Q9"/>
      <c r="R9"/>
      <c r="S9"/>
      <c r="T9"/>
      <c r="U9"/>
      <c r="V9"/>
      <c r="W9"/>
      <c r="X9"/>
      <c r="Y9"/>
      <c r="Z9"/>
      <c r="AA9"/>
      <c r="AB9"/>
    </row>
    <row r="10" spans="1:28" x14ac:dyDescent="0.2">
      <c r="A10" s="5" t="s">
        <v>58</v>
      </c>
      <c r="B10" s="1">
        <f>E8*B9-E9</f>
        <v>7.34</v>
      </c>
      <c r="C10">
        <v>9</v>
      </c>
      <c r="D10" s="5" t="s">
        <v>138</v>
      </c>
      <c r="E10" s="1">
        <v>2.7E-6</v>
      </c>
      <c r="F10">
        <v>-5.57</v>
      </c>
      <c r="G10">
        <v>2.5</v>
      </c>
      <c r="H10" s="1">
        <f t="shared" si="2"/>
        <v>2.0773037255725563E-10</v>
      </c>
      <c r="I10" s="1">
        <f t="shared" si="1"/>
        <v>3.4873858413521794E-2</v>
      </c>
      <c r="J10" s="8">
        <v>1</v>
      </c>
      <c r="K10" s="8">
        <v>1</v>
      </c>
      <c r="L10" s="10" t="s">
        <v>169</v>
      </c>
      <c r="M10" s="8"/>
      <c r="N10" s="8"/>
      <c r="Q10"/>
      <c r="R10"/>
      <c r="S10"/>
      <c r="T10"/>
      <c r="U10"/>
      <c r="V10"/>
      <c r="W10"/>
      <c r="X10"/>
      <c r="Y10"/>
      <c r="Z10"/>
      <c r="AA10"/>
      <c r="AB10"/>
    </row>
    <row r="11" spans="1:28" x14ac:dyDescent="0.2">
      <c r="A11" s="5" t="s">
        <v>7</v>
      </c>
      <c r="B11" s="1">
        <f>E9</f>
        <v>3.16</v>
      </c>
      <c r="C11">
        <v>10</v>
      </c>
      <c r="D11" s="5" t="s">
        <v>139</v>
      </c>
      <c r="E11" s="1">
        <v>6.0999999999999999E-2</v>
      </c>
      <c r="F11">
        <v>-1.21</v>
      </c>
      <c r="G11">
        <v>2.5</v>
      </c>
      <c r="H11" s="1">
        <f t="shared" si="2"/>
        <v>4.7588279098881653E-6</v>
      </c>
      <c r="I11" s="1">
        <f t="shared" si="1"/>
        <v>798.91394166740486</v>
      </c>
      <c r="J11" s="8">
        <v>1</v>
      </c>
      <c r="K11" s="8">
        <v>1</v>
      </c>
      <c r="L11" s="10"/>
      <c r="M11" s="8"/>
      <c r="N11" s="8"/>
      <c r="Q11"/>
      <c r="R11"/>
      <c r="S11"/>
      <c r="T11"/>
      <c r="U11"/>
      <c r="V11"/>
      <c r="W11"/>
      <c r="X11"/>
      <c r="Y11"/>
      <c r="Z11"/>
      <c r="AA11"/>
      <c r="AB11"/>
    </row>
    <row r="12" spans="1:28" x14ac:dyDescent="0.2">
      <c r="A12" s="5" t="s">
        <v>59</v>
      </c>
      <c r="B12" s="1">
        <v>100000000</v>
      </c>
      <c r="C12">
        <v>11</v>
      </c>
      <c r="D12" s="5" t="s">
        <v>140</v>
      </c>
      <c r="E12" s="1">
        <v>2.7E-6</v>
      </c>
      <c r="F12">
        <v>-5.57</v>
      </c>
      <c r="G12">
        <v>2.5</v>
      </c>
      <c r="H12" s="1">
        <f t="shared" si="2"/>
        <v>2.0773037255725563E-10</v>
      </c>
      <c r="I12" s="1">
        <f t="shared" si="1"/>
        <v>3.4873858413521794E-2</v>
      </c>
      <c r="J12" s="8">
        <v>1</v>
      </c>
      <c r="K12" s="8">
        <v>1</v>
      </c>
      <c r="L12" s="10" t="s">
        <v>170</v>
      </c>
      <c r="M12" s="8"/>
      <c r="N12" s="8"/>
      <c r="Q12"/>
      <c r="R12"/>
      <c r="S12"/>
      <c r="T12"/>
      <c r="U12"/>
      <c r="V12"/>
      <c r="W12"/>
      <c r="X12"/>
      <c r="Y12"/>
      <c r="Z12"/>
      <c r="AA12"/>
      <c r="AB12"/>
    </row>
    <row r="13" spans="1:28" x14ac:dyDescent="0.2">
      <c r="A13" s="5" t="s">
        <v>60</v>
      </c>
      <c r="B13" s="1">
        <f>E10*B12-E11</f>
        <v>269.93900000000002</v>
      </c>
      <c r="C13">
        <v>12</v>
      </c>
      <c r="D13" s="5" t="s">
        <v>141</v>
      </c>
      <c r="E13" s="1">
        <v>6.0999999999999999E-2</v>
      </c>
      <c r="F13">
        <v>-1.21</v>
      </c>
      <c r="G13">
        <v>2.5</v>
      </c>
      <c r="H13" s="1">
        <f t="shared" si="2"/>
        <v>4.7588279098881653E-6</v>
      </c>
      <c r="I13" s="1">
        <f t="shared" si="1"/>
        <v>798.91394166740486</v>
      </c>
      <c r="J13" s="8">
        <v>1</v>
      </c>
      <c r="K13" s="8">
        <v>1</v>
      </c>
      <c r="L13" s="10"/>
      <c r="M13" s="8"/>
      <c r="N13" s="8"/>
      <c r="Q13"/>
      <c r="R13"/>
      <c r="S13"/>
      <c r="T13"/>
      <c r="U13"/>
      <c r="V13"/>
      <c r="W13"/>
      <c r="X13"/>
      <c r="Y13"/>
      <c r="Z13"/>
      <c r="AA13"/>
      <c r="AB13"/>
    </row>
    <row r="14" spans="1:28" x14ac:dyDescent="0.2">
      <c r="A14" s="5" t="s">
        <v>8</v>
      </c>
      <c r="B14" s="1">
        <f>E11</f>
        <v>6.0999999999999999E-2</v>
      </c>
      <c r="C14">
        <v>13</v>
      </c>
      <c r="D14" s="5" t="s">
        <v>142</v>
      </c>
      <c r="E14" s="1">
        <v>1.7E-6</v>
      </c>
      <c r="F14">
        <v>-5.77</v>
      </c>
      <c r="G14">
        <v>2.5</v>
      </c>
      <c r="H14" s="1">
        <f t="shared" si="2"/>
        <v>1.3106900423660748E-10</v>
      </c>
      <c r="I14" s="1">
        <f t="shared" si="1"/>
        <v>2.2003917096373993E-2</v>
      </c>
      <c r="J14" s="8">
        <v>1</v>
      </c>
      <c r="K14" s="8">
        <v>1</v>
      </c>
      <c r="L14" s="10" t="s">
        <v>171</v>
      </c>
      <c r="M14" s="8"/>
      <c r="N14" s="8"/>
      <c r="Q14"/>
      <c r="R14"/>
      <c r="S14"/>
      <c r="T14"/>
      <c r="U14"/>
      <c r="V14"/>
      <c r="W14"/>
      <c r="X14"/>
      <c r="Y14"/>
      <c r="Z14"/>
      <c r="AA14"/>
      <c r="AB14"/>
    </row>
    <row r="15" spans="1:28" x14ac:dyDescent="0.2">
      <c r="A15" s="5" t="s">
        <v>61</v>
      </c>
      <c r="B15" s="1">
        <v>100000000</v>
      </c>
      <c r="C15">
        <v>14</v>
      </c>
      <c r="D15" s="5" t="s">
        <v>143</v>
      </c>
      <c r="E15" s="1">
        <v>0.32</v>
      </c>
      <c r="F15">
        <v>-0.49</v>
      </c>
      <c r="G15">
        <v>2.5</v>
      </c>
      <c r="H15" s="1">
        <f t="shared" si="2"/>
        <v>2.4974683891541425E-5</v>
      </c>
      <c r="I15" s="1">
        <f t="shared" si="1"/>
        <v>4192.7599668460507</v>
      </c>
      <c r="J15" s="8">
        <v>1</v>
      </c>
      <c r="K15" s="8">
        <v>1</v>
      </c>
      <c r="L15" s="10"/>
      <c r="M15" s="8"/>
      <c r="N15" s="8"/>
      <c r="Q15"/>
      <c r="R15"/>
      <c r="S15"/>
      <c r="T15"/>
      <c r="U15"/>
      <c r="V15"/>
      <c r="W15"/>
      <c r="X15"/>
      <c r="Y15"/>
      <c r="Z15"/>
      <c r="AA15"/>
      <c r="AB15"/>
    </row>
    <row r="16" spans="1:28" x14ac:dyDescent="0.2">
      <c r="A16" s="5" t="s">
        <v>62</v>
      </c>
      <c r="B16" s="1">
        <f>E12*B15-E13</f>
        <v>269.93900000000002</v>
      </c>
      <c r="C16">
        <v>15</v>
      </c>
      <c r="D16" s="5" t="s">
        <v>144</v>
      </c>
      <c r="E16" s="1">
        <v>1.7E-6</v>
      </c>
      <c r="F16">
        <v>-5.77</v>
      </c>
      <c r="G16">
        <v>2.5</v>
      </c>
      <c r="H16" s="1">
        <f t="shared" si="2"/>
        <v>1.3106900423660748E-10</v>
      </c>
      <c r="I16" s="1">
        <f t="shared" si="1"/>
        <v>2.2003917096373993E-2</v>
      </c>
      <c r="J16" s="8">
        <v>1</v>
      </c>
      <c r="K16" s="8">
        <v>1</v>
      </c>
      <c r="L16" s="10" t="s">
        <v>172</v>
      </c>
      <c r="M16" s="8"/>
      <c r="N16" s="8"/>
      <c r="Q16"/>
      <c r="R16"/>
      <c r="S16"/>
      <c r="T16"/>
      <c r="U16"/>
      <c r="V16"/>
      <c r="W16"/>
      <c r="X16"/>
      <c r="Y16"/>
      <c r="Z16"/>
      <c r="AA16"/>
      <c r="AB16"/>
    </row>
    <row r="17" spans="1:28" x14ac:dyDescent="0.2">
      <c r="A17" s="5" t="s">
        <v>9</v>
      </c>
      <c r="B17" s="1">
        <f>E13</f>
        <v>6.0999999999999999E-2</v>
      </c>
      <c r="C17">
        <v>16</v>
      </c>
      <c r="D17" s="5" t="s">
        <v>145</v>
      </c>
      <c r="E17" s="1">
        <v>0.32</v>
      </c>
      <c r="F17">
        <v>-0.49</v>
      </c>
      <c r="G17">
        <v>2.5</v>
      </c>
      <c r="H17" s="1">
        <f t="shared" si="2"/>
        <v>2.4974683891541425E-5</v>
      </c>
      <c r="I17" s="1">
        <f t="shared" si="1"/>
        <v>4192.7599668460507</v>
      </c>
      <c r="J17" s="8">
        <v>1</v>
      </c>
      <c r="K17" s="8">
        <v>1</v>
      </c>
      <c r="L17" s="10"/>
      <c r="M17" s="8"/>
      <c r="N17" s="8"/>
      <c r="Q17"/>
      <c r="R17"/>
      <c r="S17"/>
      <c r="T17"/>
      <c r="U17"/>
      <c r="V17"/>
      <c r="W17"/>
      <c r="X17"/>
      <c r="Y17"/>
      <c r="Z17"/>
      <c r="AA17"/>
      <c r="AB17"/>
    </row>
    <row r="18" spans="1:28" x14ac:dyDescent="0.2">
      <c r="A18" s="5" t="s">
        <v>63</v>
      </c>
      <c r="B18" s="1">
        <v>100000000</v>
      </c>
      <c r="C18">
        <v>17</v>
      </c>
      <c r="D18" s="5" t="s">
        <v>12</v>
      </c>
      <c r="E18" s="1">
        <v>3.1999999999999999E-6</v>
      </c>
      <c r="F18">
        <v>-5.49</v>
      </c>
      <c r="G18">
        <v>2.5</v>
      </c>
      <c r="H18" s="1">
        <f t="shared" si="2"/>
        <v>2.497468389154142E-10</v>
      </c>
      <c r="I18" s="1">
        <f t="shared" si="1"/>
        <v>4.1927599668460498E-2</v>
      </c>
      <c r="J18" s="8">
        <v>1</v>
      </c>
      <c r="K18" s="8">
        <v>1</v>
      </c>
      <c r="L18" s="10" t="s">
        <v>173</v>
      </c>
      <c r="M18" s="8"/>
      <c r="N18" s="8"/>
      <c r="Q18"/>
      <c r="R18"/>
      <c r="S18"/>
      <c r="T18"/>
      <c r="U18"/>
      <c r="V18"/>
      <c r="W18"/>
      <c r="X18"/>
      <c r="Y18"/>
      <c r="Z18"/>
      <c r="AA18"/>
      <c r="AB18"/>
    </row>
    <row r="19" spans="1:28" x14ac:dyDescent="0.2">
      <c r="A19" s="5" t="s">
        <v>64</v>
      </c>
      <c r="B19" s="1">
        <f>E14*B18-E15</f>
        <v>169.68</v>
      </c>
      <c r="C19">
        <v>18</v>
      </c>
      <c r="D19" s="5" t="s">
        <v>13</v>
      </c>
      <c r="E19" s="1">
        <v>1.4</v>
      </c>
      <c r="F19">
        <v>0.15</v>
      </c>
      <c r="G19">
        <v>2.5</v>
      </c>
      <c r="H19" s="1">
        <f t="shared" si="2"/>
        <v>1.0901844923851263E-4</v>
      </c>
      <c r="I19" s="1">
        <f t="shared" si="1"/>
        <v>18302.061063110596</v>
      </c>
      <c r="J19" s="8">
        <v>1</v>
      </c>
      <c r="K19" s="8">
        <v>1</v>
      </c>
      <c r="L19" s="10"/>
      <c r="M19" s="8"/>
      <c r="N19" s="8"/>
      <c r="Q19"/>
      <c r="R19"/>
      <c r="S19"/>
      <c r="T19"/>
      <c r="U19"/>
      <c r="V19"/>
      <c r="W19"/>
      <c r="X19"/>
      <c r="Y19"/>
      <c r="Z19"/>
      <c r="AA19"/>
      <c r="AB19"/>
    </row>
    <row r="20" spans="1:28" x14ac:dyDescent="0.2">
      <c r="A20" s="5" t="s">
        <v>10</v>
      </c>
      <c r="B20" s="1">
        <f>E15</f>
        <v>0.32</v>
      </c>
      <c r="C20">
        <v>19</v>
      </c>
      <c r="D20" s="6" t="s">
        <v>14</v>
      </c>
      <c r="E20" s="1">
        <v>450</v>
      </c>
      <c r="F20">
        <v>2.65</v>
      </c>
      <c r="G20">
        <v>2.5</v>
      </c>
      <c r="H20" s="1">
        <f t="shared" si="2"/>
        <v>3.4474660657314929E-2</v>
      </c>
      <c r="I20" s="1">
        <f t="shared" si="1"/>
        <v>5787619.8834912023</v>
      </c>
      <c r="J20" s="8">
        <v>1</v>
      </c>
      <c r="K20" s="9">
        <v>1</v>
      </c>
      <c r="L20" s="12" t="s">
        <v>191</v>
      </c>
      <c r="M20" s="8"/>
      <c r="N20" s="8"/>
      <c r="Q20"/>
      <c r="R20"/>
      <c r="S20"/>
      <c r="T20"/>
      <c r="U20"/>
      <c r="V20"/>
      <c r="W20"/>
      <c r="X20"/>
      <c r="Y20"/>
      <c r="Z20"/>
      <c r="AA20"/>
      <c r="AB20"/>
    </row>
    <row r="21" spans="1:28" x14ac:dyDescent="0.2">
      <c r="A21" s="5" t="s">
        <v>65</v>
      </c>
      <c r="B21" s="1">
        <v>100000000</v>
      </c>
      <c r="C21">
        <v>20</v>
      </c>
      <c r="D21" s="5" t="s">
        <v>15</v>
      </c>
      <c r="E21" s="1">
        <v>3.2000000000000001E-7</v>
      </c>
      <c r="F21">
        <v>-6.5</v>
      </c>
      <c r="G21">
        <v>0.57999999999999996</v>
      </c>
      <c r="H21" s="1">
        <f t="shared" si="2"/>
        <v>3.5147950006430603E-8</v>
      </c>
      <c r="I21" s="1">
        <f t="shared" si="1"/>
        <v>2.8451161442332769E-6</v>
      </c>
      <c r="J21" s="8">
        <v>9</v>
      </c>
      <c r="K21" s="8">
        <v>9</v>
      </c>
      <c r="L21" s="10" t="s">
        <v>174</v>
      </c>
      <c r="M21" s="8"/>
      <c r="N21" s="8"/>
      <c r="Q21"/>
      <c r="R21"/>
      <c r="S21"/>
      <c r="T21"/>
      <c r="U21"/>
      <c r="V21"/>
      <c r="W21"/>
      <c r="X21"/>
      <c r="Y21"/>
      <c r="Z21"/>
      <c r="AA21"/>
      <c r="AB21"/>
    </row>
    <row r="22" spans="1:28" x14ac:dyDescent="0.2">
      <c r="A22" s="5" t="s">
        <v>66</v>
      </c>
      <c r="B22" s="1">
        <f>E16*B21-E17</f>
        <v>169.68</v>
      </c>
      <c r="C22">
        <v>21</v>
      </c>
      <c r="D22" s="5" t="s">
        <v>16</v>
      </c>
      <c r="E22" s="1">
        <v>6</v>
      </c>
      <c r="F22">
        <v>0.78</v>
      </c>
      <c r="G22">
        <v>0.63</v>
      </c>
      <c r="H22" s="1">
        <f t="shared" si="2"/>
        <v>0.5541789175047922</v>
      </c>
      <c r="I22" s="1">
        <f t="shared" si="1"/>
        <v>65.516396113528046</v>
      </c>
      <c r="J22" s="8">
        <v>9</v>
      </c>
      <c r="K22" s="8">
        <v>9</v>
      </c>
      <c r="L22" s="10"/>
      <c r="M22" s="8"/>
      <c r="N22" s="8"/>
      <c r="Q22"/>
      <c r="R22"/>
      <c r="S22"/>
      <c r="T22"/>
      <c r="U22"/>
      <c r="V22"/>
      <c r="W22"/>
      <c r="X22"/>
      <c r="Y22"/>
      <c r="Z22"/>
      <c r="AA22"/>
      <c r="AB22"/>
    </row>
    <row r="23" spans="1:28" x14ac:dyDescent="0.2">
      <c r="A23" s="5" t="s">
        <v>11</v>
      </c>
      <c r="B23" s="1">
        <f>E17</f>
        <v>0.32</v>
      </c>
      <c r="C23">
        <v>22</v>
      </c>
      <c r="D23" s="5" t="s">
        <v>17</v>
      </c>
      <c r="E23" s="1">
        <v>1.1000000000000001E-6</v>
      </c>
      <c r="F23">
        <v>-5.96</v>
      </c>
      <c r="G23">
        <v>0.91</v>
      </c>
      <c r="H23" s="1">
        <f t="shared" si="2"/>
        <v>3.4918051405684639E-8</v>
      </c>
      <c r="I23" s="1">
        <f t="shared" si="1"/>
        <v>3.4431028829451829E-5</v>
      </c>
      <c r="J23" s="8">
        <v>2</v>
      </c>
      <c r="K23" s="8">
        <v>2</v>
      </c>
      <c r="L23" s="10" t="s">
        <v>175</v>
      </c>
      <c r="M23" s="8"/>
      <c r="N23" s="8"/>
      <c r="Q23"/>
      <c r="R23"/>
      <c r="S23"/>
      <c r="T23"/>
      <c r="U23"/>
      <c r="V23"/>
      <c r="W23"/>
      <c r="X23"/>
      <c r="Y23"/>
      <c r="Z23"/>
      <c r="AA23"/>
      <c r="AB23"/>
    </row>
    <row r="24" spans="1:28" x14ac:dyDescent="0.2">
      <c r="A24" s="5" t="s">
        <v>67</v>
      </c>
      <c r="B24" s="1">
        <v>100000000</v>
      </c>
      <c r="C24">
        <v>23</v>
      </c>
      <c r="D24" s="5" t="s">
        <v>18</v>
      </c>
      <c r="E24" s="1">
        <v>3.2000000000000003E-4</v>
      </c>
      <c r="F24">
        <v>-3.49</v>
      </c>
      <c r="G24">
        <v>0.13</v>
      </c>
      <c r="H24" s="1">
        <f t="shared" si="2"/>
        <v>1.9776525791678616E-4</v>
      </c>
      <c r="I24" s="1">
        <f t="shared" si="1"/>
        <v>5.2948053620798191E-4</v>
      </c>
      <c r="J24" s="8">
        <v>2</v>
      </c>
      <c r="K24" s="8">
        <v>2</v>
      </c>
      <c r="L24" s="10"/>
    </row>
    <row r="25" spans="1:28" x14ac:dyDescent="0.2">
      <c r="A25" s="5" t="s">
        <v>68</v>
      </c>
      <c r="B25" s="1">
        <f>E18*B24-E19</f>
        <v>318.60000000000002</v>
      </c>
      <c r="C25">
        <v>24</v>
      </c>
      <c r="D25" s="5" t="s">
        <v>19</v>
      </c>
      <c r="E25" s="1">
        <v>8.4999999999999994E-8</v>
      </c>
      <c r="F25">
        <v>-7.07</v>
      </c>
      <c r="G25">
        <v>0.37</v>
      </c>
      <c r="H25" s="1">
        <f t="shared" si="2"/>
        <v>2.0958007913216863E-8</v>
      </c>
      <c r="I25" s="1">
        <f t="shared" si="1"/>
        <v>3.4566069593767603E-7</v>
      </c>
      <c r="J25" s="8">
        <v>5</v>
      </c>
      <c r="K25" s="8">
        <v>5</v>
      </c>
      <c r="L25" s="10" t="s">
        <v>176</v>
      </c>
    </row>
    <row r="26" spans="1:28" x14ac:dyDescent="0.2">
      <c r="A26" s="5" t="s">
        <v>13</v>
      </c>
      <c r="B26" s="1">
        <f>E19</f>
        <v>1.4</v>
      </c>
      <c r="C26">
        <v>25</v>
      </c>
      <c r="D26" s="5" t="s">
        <v>20</v>
      </c>
      <c r="E26" s="1">
        <v>2.19</v>
      </c>
      <c r="F26">
        <v>0.34</v>
      </c>
      <c r="G26">
        <v>0.82</v>
      </c>
      <c r="H26" s="1">
        <f t="shared" si="2"/>
        <v>9.7971554728038646E-2</v>
      </c>
      <c r="I26" s="1">
        <f t="shared" si="1"/>
        <v>48.853985593193677</v>
      </c>
      <c r="J26" s="8">
        <v>5</v>
      </c>
      <c r="K26" s="8">
        <v>5</v>
      </c>
      <c r="L26" s="10"/>
    </row>
    <row r="27" spans="1:28" x14ac:dyDescent="0.2">
      <c r="A27" s="6" t="s">
        <v>14</v>
      </c>
      <c r="B27" s="1">
        <f>E20</f>
        <v>450</v>
      </c>
      <c r="C27">
        <v>26</v>
      </c>
      <c r="D27" s="5" t="s">
        <v>146</v>
      </c>
      <c r="E27" s="1">
        <v>8.0000000000000002E-8</v>
      </c>
      <c r="F27">
        <v>-7.1</v>
      </c>
      <c r="G27">
        <v>0.86</v>
      </c>
      <c r="H27" s="1">
        <f t="shared" si="2"/>
        <v>3.0570321069876529E-9</v>
      </c>
      <c r="I27" s="1">
        <f t="shared" si="1"/>
        <v>2.0639539343992236E-6</v>
      </c>
      <c r="J27" s="8">
        <v>4</v>
      </c>
      <c r="K27" s="8">
        <v>4</v>
      </c>
      <c r="L27" s="10" t="s">
        <v>177</v>
      </c>
    </row>
    <row r="28" spans="1:28" x14ac:dyDescent="0.2">
      <c r="A28" s="5" t="s">
        <v>69</v>
      </c>
      <c r="B28" s="1">
        <v>100000000</v>
      </c>
      <c r="C28">
        <v>27</v>
      </c>
      <c r="D28" s="5" t="s">
        <v>147</v>
      </c>
      <c r="E28" s="1">
        <v>6.3000000000000003E-4</v>
      </c>
      <c r="F28">
        <v>-3.2</v>
      </c>
      <c r="G28">
        <v>0.91</v>
      </c>
      <c r="H28" s="1">
        <f t="shared" si="2"/>
        <v>2.0093241312822798E-5</v>
      </c>
      <c r="I28" s="1">
        <f t="shared" si="1"/>
        <v>1.9812989072073621E-2</v>
      </c>
      <c r="J28" s="8">
        <v>4</v>
      </c>
      <c r="K28" s="8">
        <v>4</v>
      </c>
      <c r="L28" s="10"/>
    </row>
    <row r="29" spans="1:28" x14ac:dyDescent="0.2">
      <c r="A29" s="5" t="s">
        <v>70</v>
      </c>
      <c r="B29" s="1">
        <f>E21*B28-E22</f>
        <v>26</v>
      </c>
      <c r="C29">
        <v>28</v>
      </c>
      <c r="D29" s="5" t="s">
        <v>148</v>
      </c>
      <c r="E29" s="1">
        <v>7.17E-8</v>
      </c>
      <c r="F29">
        <v>-7.14</v>
      </c>
      <c r="G29">
        <v>2.5</v>
      </c>
      <c r="H29" s="1">
        <f t="shared" si="2"/>
        <v>5.5911352757055863E-12</v>
      </c>
      <c r="I29" s="1">
        <f t="shared" si="1"/>
        <v>9.3864203667213479E-4</v>
      </c>
      <c r="J29" s="8">
        <v>1</v>
      </c>
      <c r="K29" s="8">
        <v>1</v>
      </c>
      <c r="L29" s="10" t="s">
        <v>178</v>
      </c>
    </row>
    <row r="30" spans="1:28" x14ac:dyDescent="0.2">
      <c r="A30" s="5" t="s">
        <v>16</v>
      </c>
      <c r="B30" s="1">
        <f>E22</f>
        <v>6</v>
      </c>
      <c r="C30">
        <v>29</v>
      </c>
      <c r="D30" s="5" t="s">
        <v>149</v>
      </c>
      <c r="E30" s="1">
        <v>0.3</v>
      </c>
      <c r="F30">
        <v>-0.53</v>
      </c>
      <c r="G30">
        <v>0.13</v>
      </c>
      <c r="H30" s="1">
        <f t="shared" si="2"/>
        <v>0.18036405886812609</v>
      </c>
      <c r="I30" s="1">
        <f t="shared" si="1"/>
        <v>0.4828919882496594</v>
      </c>
      <c r="J30" s="8">
        <v>3</v>
      </c>
      <c r="K30" s="8">
        <v>4</v>
      </c>
      <c r="L30" s="10"/>
      <c r="P30" s="1"/>
    </row>
    <row r="31" spans="1:28" x14ac:dyDescent="0.2">
      <c r="A31" s="5" t="s">
        <v>71</v>
      </c>
      <c r="B31" s="1">
        <v>100000000</v>
      </c>
      <c r="C31">
        <v>30</v>
      </c>
      <c r="D31" s="5" t="s">
        <v>23</v>
      </c>
      <c r="E31" s="1">
        <v>1.04E-8</v>
      </c>
      <c r="F31">
        <v>-7.98</v>
      </c>
      <c r="G31">
        <v>2.5</v>
      </c>
      <c r="H31" s="1">
        <f t="shared" si="2"/>
        <v>8.0816492911253307E-13</v>
      </c>
      <c r="I31" s="1">
        <f t="shared" si="1"/>
        <v>1.3567505302998587E-4</v>
      </c>
      <c r="J31" s="8">
        <v>1</v>
      </c>
      <c r="K31" s="8">
        <v>1</v>
      </c>
      <c r="L31" s="10" t="s">
        <v>179</v>
      </c>
    </row>
    <row r="32" spans="1:28" x14ac:dyDescent="0.2">
      <c r="A32" s="5" t="s">
        <v>72</v>
      </c>
      <c r="B32" s="1">
        <f>E23*B31-E24</f>
        <v>109.99968</v>
      </c>
      <c r="C32">
        <v>31</v>
      </c>
      <c r="D32" s="5" t="s">
        <v>24</v>
      </c>
      <c r="E32" s="1">
        <v>4.2999999999999997E-2</v>
      </c>
      <c r="F32">
        <v>-1.37</v>
      </c>
      <c r="G32">
        <v>2.5</v>
      </c>
      <c r="H32" s="1">
        <f t="shared" si="2"/>
        <v>3.2923045333340622E-6</v>
      </c>
      <c r="I32" s="1">
        <f t="shared" si="1"/>
        <v>552.71340794443461</v>
      </c>
      <c r="J32" s="8">
        <v>1</v>
      </c>
      <c r="K32" s="8">
        <v>1</v>
      </c>
      <c r="L32" s="10"/>
    </row>
    <row r="33" spans="1:14" x14ac:dyDescent="0.2">
      <c r="A33" s="5" t="s">
        <v>18</v>
      </c>
      <c r="B33" s="1">
        <f>E24</f>
        <v>3.2000000000000003E-4</v>
      </c>
      <c r="C33">
        <v>32</v>
      </c>
      <c r="D33" s="4" t="s">
        <v>105</v>
      </c>
      <c r="E33" s="1">
        <v>3.1500000000000001E-11</v>
      </c>
      <c r="F33">
        <v>-10.5</v>
      </c>
      <c r="G33">
        <v>1.51</v>
      </c>
      <c r="H33" s="1">
        <f t="shared" si="2"/>
        <v>1.0376478725675508E-13</v>
      </c>
      <c r="I33" s="1">
        <f t="shared" si="1"/>
        <v>9.6371806509427851E-9</v>
      </c>
      <c r="J33" s="8">
        <v>3</v>
      </c>
      <c r="K33" s="8">
        <v>3</v>
      </c>
      <c r="L33" s="10" t="s">
        <v>192</v>
      </c>
    </row>
    <row r="34" spans="1:14" x14ac:dyDescent="0.2">
      <c r="A34" s="5" t="s">
        <v>73</v>
      </c>
      <c r="B34" s="1">
        <v>100000000</v>
      </c>
      <c r="C34">
        <v>33</v>
      </c>
      <c r="D34" s="4" t="s">
        <v>110</v>
      </c>
      <c r="E34" s="1">
        <v>1600000000</v>
      </c>
      <c r="F34">
        <v>9.1999999999999993</v>
      </c>
      <c r="G34">
        <v>2.5</v>
      </c>
      <c r="H34" s="1">
        <f t="shared" si="2"/>
        <v>122320.71190499308</v>
      </c>
      <c r="I34" s="1">
        <f t="shared" si="1"/>
        <v>20535250264571.547</v>
      </c>
      <c r="J34" s="8">
        <v>1</v>
      </c>
      <c r="K34" s="9">
        <v>1</v>
      </c>
      <c r="L34" s="10"/>
    </row>
    <row r="35" spans="1:14" x14ac:dyDescent="0.2">
      <c r="A35" s="5" t="s">
        <v>74</v>
      </c>
      <c r="B35" s="1">
        <f>E25*B34-E26</f>
        <v>6.3100000000000005</v>
      </c>
      <c r="C35">
        <v>34</v>
      </c>
      <c r="D35" s="6" t="s">
        <v>27</v>
      </c>
      <c r="E35" s="1">
        <v>2100</v>
      </c>
      <c r="F35">
        <v>3.32</v>
      </c>
      <c r="G35">
        <v>0.39</v>
      </c>
      <c r="H35" s="1">
        <f t="shared" si="2"/>
        <v>476.92490294974061</v>
      </c>
      <c r="I35" s="1">
        <f t="shared" si="1"/>
        <v>9152.7162775596898</v>
      </c>
      <c r="J35" s="8">
        <v>4</v>
      </c>
      <c r="K35" s="9">
        <v>4</v>
      </c>
      <c r="L35" s="12" t="s">
        <v>193</v>
      </c>
    </row>
    <row r="36" spans="1:14" x14ac:dyDescent="0.2">
      <c r="A36" s="5" t="s">
        <v>20</v>
      </c>
      <c r="B36" s="1">
        <f>E26</f>
        <v>2.19</v>
      </c>
      <c r="C36">
        <v>35</v>
      </c>
      <c r="D36" s="6" t="s">
        <v>28</v>
      </c>
      <c r="E36" s="1">
        <v>367</v>
      </c>
      <c r="F36">
        <v>2.56</v>
      </c>
      <c r="G36">
        <v>2.5</v>
      </c>
      <c r="H36" s="1">
        <f>10^($F36-1.645*G36)</f>
        <v>2.8022056216667472E-2</v>
      </c>
      <c r="I36" s="1">
        <f t="shared" si="1"/>
        <v>4704354.0572597627</v>
      </c>
      <c r="J36" s="8">
        <v>1</v>
      </c>
      <c r="K36" s="8">
        <v>1</v>
      </c>
      <c r="L36" s="12" t="s">
        <v>194</v>
      </c>
    </row>
    <row r="37" spans="1:14" x14ac:dyDescent="0.2">
      <c r="A37" s="5" t="s">
        <v>75</v>
      </c>
      <c r="B37" s="1">
        <v>100000000</v>
      </c>
      <c r="C37">
        <v>36</v>
      </c>
      <c r="D37" s="5" t="s">
        <v>29</v>
      </c>
      <c r="E37" s="1">
        <v>1.3E-6</v>
      </c>
      <c r="F37">
        <v>-5.88</v>
      </c>
      <c r="G37">
        <v>0.91</v>
      </c>
      <c r="H37" s="1">
        <f t="shared" si="2"/>
        <v>4.1980731331197176E-8</v>
      </c>
      <c r="I37" s="1">
        <f t="shared" si="1"/>
        <v>4.1395201408936789E-5</v>
      </c>
      <c r="J37" s="8">
        <v>2</v>
      </c>
      <c r="K37" s="8">
        <v>2</v>
      </c>
      <c r="L37" s="10" t="s">
        <v>180</v>
      </c>
    </row>
    <row r="38" spans="1:14" x14ac:dyDescent="0.2">
      <c r="A38" s="5" t="s">
        <v>76</v>
      </c>
      <c r="B38" s="1">
        <f>E27*B37-E28</f>
        <v>7.9993699999999999</v>
      </c>
      <c r="C38">
        <v>37</v>
      </c>
      <c r="D38" s="5" t="s">
        <v>30</v>
      </c>
      <c r="E38" s="1">
        <v>9.2999999999999992E-3</v>
      </c>
      <c r="F38">
        <v>-2.0299999999999998</v>
      </c>
      <c r="G38">
        <v>0.86</v>
      </c>
      <c r="H38" s="1">
        <f t="shared" si="2"/>
        <v>3.5916995478714361E-4</v>
      </c>
      <c r="I38" s="1">
        <f t="shared" si="1"/>
        <v>0.24249344310334736</v>
      </c>
      <c r="J38" s="8">
        <v>2</v>
      </c>
      <c r="K38" s="8">
        <v>2</v>
      </c>
      <c r="L38" s="10"/>
    </row>
    <row r="39" spans="1:14" x14ac:dyDescent="0.2">
      <c r="A39" s="5" t="s">
        <v>21</v>
      </c>
      <c r="B39" s="1">
        <f>E28</f>
        <v>6.3000000000000003E-4</v>
      </c>
      <c r="C39">
        <v>38</v>
      </c>
      <c r="D39" s="5" t="s">
        <v>31</v>
      </c>
      <c r="E39" s="1">
        <v>6.9999999999999997E-7</v>
      </c>
      <c r="F39">
        <v>-6.16</v>
      </c>
      <c r="G39">
        <v>0.34</v>
      </c>
      <c r="H39" s="1">
        <f t="shared" si="2"/>
        <v>1.9085344342315684E-7</v>
      </c>
      <c r="I39" s="1">
        <f t="shared" si="1"/>
        <v>2.5078410100331633E-6</v>
      </c>
      <c r="J39" s="8">
        <v>4</v>
      </c>
      <c r="K39" s="8">
        <v>4</v>
      </c>
      <c r="L39" s="10" t="s">
        <v>181</v>
      </c>
    </row>
    <row r="40" spans="1:14" x14ac:dyDescent="0.2">
      <c r="A40" s="5" t="s">
        <v>77</v>
      </c>
      <c r="B40" s="1">
        <v>100000000</v>
      </c>
      <c r="C40">
        <v>39</v>
      </c>
      <c r="D40" s="5" t="s">
        <v>32</v>
      </c>
      <c r="E40" s="1">
        <v>36</v>
      </c>
      <c r="F40">
        <v>1.55</v>
      </c>
      <c r="G40">
        <v>0.19</v>
      </c>
      <c r="H40" s="1">
        <f t="shared" si="2"/>
        <v>17.276270686410705</v>
      </c>
      <c r="I40" s="1">
        <f t="shared" si="1"/>
        <v>72.87020646095938</v>
      </c>
      <c r="J40" s="8">
        <v>4</v>
      </c>
      <c r="K40" s="8">
        <v>4</v>
      </c>
      <c r="L40" s="10"/>
    </row>
    <row r="41" spans="1:14" x14ac:dyDescent="0.2">
      <c r="A41" s="5" t="s">
        <v>78</v>
      </c>
      <c r="B41" s="1">
        <f>E29*B40-E30</f>
        <v>6.87</v>
      </c>
      <c r="C41">
        <v>40</v>
      </c>
      <c r="D41" s="6" t="s">
        <v>150</v>
      </c>
      <c r="E41" s="1">
        <v>6100</v>
      </c>
      <c r="F41">
        <v>3.79</v>
      </c>
      <c r="G41">
        <v>0.08</v>
      </c>
      <c r="H41" s="1">
        <f t="shared" si="2"/>
        <v>4554.0731268325471</v>
      </c>
      <c r="I41" s="1">
        <f t="shared" si="1"/>
        <v>8348.3375372365117</v>
      </c>
      <c r="J41" s="8">
        <v>4</v>
      </c>
      <c r="K41" s="8">
        <v>4</v>
      </c>
      <c r="L41" s="12" t="s">
        <v>195</v>
      </c>
    </row>
    <row r="42" spans="1:14" x14ac:dyDescent="0.2">
      <c r="A42" s="5" t="s">
        <v>22</v>
      </c>
      <c r="B42" s="1">
        <f>E30</f>
        <v>0.3</v>
      </c>
      <c r="C42">
        <v>41</v>
      </c>
      <c r="D42" s="5" t="s">
        <v>151</v>
      </c>
      <c r="E42" s="1">
        <v>4.9999999999999998E-8</v>
      </c>
      <c r="F42">
        <v>-7.3</v>
      </c>
      <c r="G42">
        <v>2.5</v>
      </c>
      <c r="H42" s="1">
        <f t="shared" si="2"/>
        <v>3.8681205463305171E-12</v>
      </c>
      <c r="I42" s="1">
        <f t="shared" si="1"/>
        <v>6.4938163157621091E-4</v>
      </c>
      <c r="J42" s="8">
        <v>1</v>
      </c>
      <c r="K42" s="8">
        <v>1</v>
      </c>
      <c r="L42" s="10" t="s">
        <v>182</v>
      </c>
    </row>
    <row r="43" spans="1:14" x14ac:dyDescent="0.2">
      <c r="A43" s="5" t="s">
        <v>79</v>
      </c>
      <c r="B43" s="1">
        <v>100000000</v>
      </c>
      <c r="C43">
        <v>42</v>
      </c>
      <c r="D43" s="5" t="s">
        <v>152</v>
      </c>
      <c r="E43" s="1">
        <v>5.6799999999999998E-5</v>
      </c>
      <c r="F43">
        <v>-4.25</v>
      </c>
      <c r="G43">
        <v>2.5</v>
      </c>
      <c r="H43" s="1">
        <f t="shared" si="2"/>
        <v>4.3401026364474306E-9</v>
      </c>
      <c r="I43" s="1">
        <f t="shared" si="1"/>
        <v>0.7286181745132273</v>
      </c>
      <c r="J43" s="8">
        <v>1</v>
      </c>
      <c r="K43" s="8">
        <v>1</v>
      </c>
      <c r="L43" s="10"/>
      <c r="N43" s="3"/>
    </row>
    <row r="44" spans="1:14" x14ac:dyDescent="0.2">
      <c r="A44" s="5" t="s">
        <v>80</v>
      </c>
      <c r="B44" s="1">
        <f>E31*B43-E32</f>
        <v>0.997</v>
      </c>
      <c r="C44">
        <v>43</v>
      </c>
      <c r="D44" s="5" t="s">
        <v>35</v>
      </c>
      <c r="E44" s="1">
        <v>4.9999999999999998E-8</v>
      </c>
      <c r="F44">
        <v>-7.3</v>
      </c>
      <c r="G44">
        <v>2.5</v>
      </c>
      <c r="H44" s="1">
        <f t="shared" si="2"/>
        <v>3.8681205463305171E-12</v>
      </c>
      <c r="I44" s="1">
        <f t="shared" si="1"/>
        <v>6.4938163157621091E-4</v>
      </c>
      <c r="J44" s="8">
        <v>0</v>
      </c>
      <c r="K44" s="8">
        <v>0</v>
      </c>
      <c r="L44" s="10" t="s">
        <v>183</v>
      </c>
    </row>
    <row r="45" spans="1:14" x14ac:dyDescent="0.2">
      <c r="A45" s="5" t="s">
        <v>24</v>
      </c>
      <c r="B45" s="1">
        <f>E32</f>
        <v>4.2999999999999997E-2</v>
      </c>
      <c r="C45">
        <v>44</v>
      </c>
      <c r="D45" s="5" t="s">
        <v>36</v>
      </c>
      <c r="E45" s="1">
        <v>1.5300000000000001E-4</v>
      </c>
      <c r="F45">
        <v>-3.82</v>
      </c>
      <c r="G45">
        <v>2.5</v>
      </c>
      <c r="H45" s="1">
        <f t="shared" si="2"/>
        <v>1.168153729861326E-8</v>
      </c>
      <c r="I45" s="1">
        <f t="shared" si="1"/>
        <v>1.9611011754760477</v>
      </c>
      <c r="J45" s="8">
        <v>1</v>
      </c>
      <c r="K45" s="8">
        <v>1</v>
      </c>
      <c r="L45" s="10"/>
    </row>
    <row r="46" spans="1:14" x14ac:dyDescent="0.2">
      <c r="A46" s="4" t="s">
        <v>25</v>
      </c>
      <c r="B46" s="1">
        <f>E34</f>
        <v>1600000000</v>
      </c>
      <c r="C46">
        <v>45</v>
      </c>
      <c r="D46" s="6" t="s">
        <v>37</v>
      </c>
      <c r="E46" s="1">
        <v>400</v>
      </c>
      <c r="F46">
        <v>2.6</v>
      </c>
      <c r="G46">
        <v>0.14000000000000001</v>
      </c>
      <c r="H46" s="1">
        <f t="shared" si="2"/>
        <v>234.26100385925494</v>
      </c>
      <c r="I46" s="1">
        <f t="shared" si="1"/>
        <v>676.5501583068974</v>
      </c>
      <c r="J46" s="8">
        <v>2</v>
      </c>
      <c r="K46" s="8">
        <v>2</v>
      </c>
      <c r="L46" s="12" t="s">
        <v>196</v>
      </c>
    </row>
    <row r="47" spans="1:14" x14ac:dyDescent="0.2">
      <c r="A47" s="4" t="s">
        <v>26</v>
      </c>
      <c r="B47" s="1">
        <f>E34*E33</f>
        <v>5.04E-2</v>
      </c>
      <c r="C47">
        <v>46</v>
      </c>
      <c r="D47" s="5" t="s">
        <v>38</v>
      </c>
      <c r="E47" s="1">
        <v>1.17E-7</v>
      </c>
      <c r="F47">
        <v>-6.93</v>
      </c>
      <c r="G47">
        <v>0.49</v>
      </c>
      <c r="H47" s="1">
        <f t="shared" si="2"/>
        <v>1.836326916228697E-8</v>
      </c>
      <c r="I47" s="1">
        <f t="shared" si="1"/>
        <v>7.517094327832474E-7</v>
      </c>
      <c r="J47" s="8">
        <v>3</v>
      </c>
      <c r="K47" s="8">
        <v>3</v>
      </c>
      <c r="L47" s="10" t="s">
        <v>184</v>
      </c>
    </row>
    <row r="48" spans="1:14" x14ac:dyDescent="0.2">
      <c r="A48" s="6" t="s">
        <v>27</v>
      </c>
      <c r="B48" s="1">
        <f>E35</f>
        <v>2100</v>
      </c>
      <c r="C48">
        <v>47</v>
      </c>
      <c r="D48" s="5" t="s">
        <v>39</v>
      </c>
      <c r="E48" s="1">
        <v>0.43</v>
      </c>
      <c r="F48">
        <v>-0.37</v>
      </c>
      <c r="G48">
        <v>0.3</v>
      </c>
      <c r="H48" s="1">
        <f t="shared" si="2"/>
        <v>0.13693043883912073</v>
      </c>
      <c r="I48" s="1">
        <f t="shared" si="1"/>
        <v>1.328923557126656</v>
      </c>
      <c r="J48" s="8">
        <v>3</v>
      </c>
      <c r="K48" s="8">
        <v>3</v>
      </c>
      <c r="L48" s="10"/>
    </row>
    <row r="49" spans="1:13" x14ac:dyDescent="0.2">
      <c r="A49" s="6" t="s">
        <v>28</v>
      </c>
      <c r="B49" s="1">
        <f>E36</f>
        <v>367</v>
      </c>
      <c r="C49">
        <v>48</v>
      </c>
      <c r="D49" s="5" t="s">
        <v>40</v>
      </c>
      <c r="E49" s="1">
        <v>8.0000000000000005E-9</v>
      </c>
      <c r="F49">
        <v>-8.1</v>
      </c>
      <c r="G49">
        <v>2.5</v>
      </c>
      <c r="H49" s="1">
        <f t="shared" si="2"/>
        <v>6.1305579214982033E-13</v>
      </c>
      <c r="I49" s="1">
        <f t="shared" si="1"/>
        <v>1.0292005271944271E-4</v>
      </c>
      <c r="J49" s="8">
        <v>1</v>
      </c>
      <c r="K49" s="8">
        <v>1</v>
      </c>
      <c r="L49" s="10" t="s">
        <v>185</v>
      </c>
    </row>
    <row r="50" spans="1:13" x14ac:dyDescent="0.2">
      <c r="A50" s="5" t="s">
        <v>81</v>
      </c>
      <c r="B50" s="1">
        <v>100000000</v>
      </c>
      <c r="C50">
        <v>49</v>
      </c>
      <c r="D50" s="5" t="s">
        <v>41</v>
      </c>
      <c r="E50" s="1">
        <v>1.6200000000000001E-4</v>
      </c>
      <c r="F50">
        <v>-3.79</v>
      </c>
      <c r="G50">
        <v>2.5</v>
      </c>
      <c r="H50" s="1">
        <f t="shared" si="2"/>
        <v>1.2516992730317218E-8</v>
      </c>
      <c r="I50" s="1">
        <f t="shared" si="1"/>
        <v>2.1013577690467469</v>
      </c>
      <c r="J50" s="8">
        <v>1</v>
      </c>
      <c r="K50" s="8">
        <v>1</v>
      </c>
      <c r="L50" s="10"/>
    </row>
    <row r="51" spans="1:13" x14ac:dyDescent="0.2">
      <c r="A51" s="5" t="s">
        <v>82</v>
      </c>
      <c r="B51" s="1">
        <f>E37*B50-E38</f>
        <v>129.9907</v>
      </c>
      <c r="C51">
        <v>50</v>
      </c>
      <c r="D51" s="5" t="s">
        <v>42</v>
      </c>
      <c r="E51" s="1">
        <v>4.2E-7</v>
      </c>
      <c r="F51">
        <v>-6.38</v>
      </c>
      <c r="G51">
        <v>0.37</v>
      </c>
      <c r="H51" s="1">
        <f t="shared" si="2"/>
        <v>1.0264788372049915E-7</v>
      </c>
      <c r="I51" s="1">
        <f t="shared" si="1"/>
        <v>1.6929728755843052E-6</v>
      </c>
      <c r="J51" s="8">
        <v>6</v>
      </c>
      <c r="K51" s="8">
        <v>6</v>
      </c>
      <c r="L51" s="10" t="s">
        <v>186</v>
      </c>
    </row>
    <row r="52" spans="1:13" x14ac:dyDescent="0.2">
      <c r="A52" s="5" t="s">
        <v>30</v>
      </c>
      <c r="B52" s="1">
        <f>E38</f>
        <v>9.2999999999999992E-3</v>
      </c>
      <c r="C52">
        <v>51</v>
      </c>
      <c r="D52" s="5" t="s">
        <v>43</v>
      </c>
      <c r="E52" s="1">
        <v>0.74</v>
      </c>
      <c r="F52">
        <v>-0.13</v>
      </c>
      <c r="G52">
        <v>0.65</v>
      </c>
      <c r="H52" s="1">
        <f t="shared" si="2"/>
        <v>6.3204791061143864E-2</v>
      </c>
      <c r="I52" s="1">
        <f t="shared" si="1"/>
        <v>8.6946078711976522</v>
      </c>
      <c r="J52" s="8">
        <v>6</v>
      </c>
      <c r="K52" s="8">
        <v>6</v>
      </c>
      <c r="L52" s="10"/>
    </row>
    <row r="53" spans="1:13" x14ac:dyDescent="0.2">
      <c r="A53" s="5" t="s">
        <v>83</v>
      </c>
      <c r="B53" s="1">
        <v>100000000</v>
      </c>
      <c r="C53">
        <v>52</v>
      </c>
      <c r="D53" s="5" t="s">
        <v>153</v>
      </c>
      <c r="E53" s="1">
        <v>1.4700000000000001E-7</v>
      </c>
      <c r="F53">
        <v>-6.83</v>
      </c>
      <c r="G53">
        <v>2.5</v>
      </c>
      <c r="H53" s="1">
        <f t="shared" si="2"/>
        <v>1.1415633046188475E-11</v>
      </c>
      <c r="I53" s="1">
        <f t="shared" si="1"/>
        <v>1.9164610627353835E-3</v>
      </c>
      <c r="J53" s="8">
        <v>1</v>
      </c>
      <c r="K53" s="8">
        <v>1</v>
      </c>
      <c r="L53" s="10" t="s">
        <v>187</v>
      </c>
    </row>
    <row r="54" spans="1:13" x14ac:dyDescent="0.2">
      <c r="A54" s="5" t="s">
        <v>84</v>
      </c>
      <c r="B54" s="1">
        <f>E39*B53-E40</f>
        <v>34</v>
      </c>
      <c r="C54">
        <v>53</v>
      </c>
      <c r="D54" s="5" t="s">
        <v>154</v>
      </c>
      <c r="E54" s="1">
        <v>0.8</v>
      </c>
      <c r="F54">
        <v>-0.09</v>
      </c>
      <c r="G54">
        <v>0.06</v>
      </c>
      <c r="H54" s="1">
        <f t="shared" si="2"/>
        <v>0.64758980046494963</v>
      </c>
      <c r="I54" s="1">
        <f t="shared" si="1"/>
        <v>1.020234487222063</v>
      </c>
      <c r="J54" s="8">
        <v>2</v>
      </c>
      <c r="K54" s="8">
        <v>2</v>
      </c>
      <c r="L54" s="10"/>
    </row>
    <row r="55" spans="1:13" x14ac:dyDescent="0.2">
      <c r="A55" s="5" t="s">
        <v>32</v>
      </c>
      <c r="B55" s="1">
        <f>E40</f>
        <v>36</v>
      </c>
      <c r="C55">
        <v>54</v>
      </c>
      <c r="D55" s="5" t="s">
        <v>45</v>
      </c>
      <c r="E55" s="1">
        <v>1.4700000000000001E-7</v>
      </c>
      <c r="F55">
        <v>-6.83</v>
      </c>
      <c r="G55">
        <v>2.5</v>
      </c>
      <c r="H55" s="1">
        <f t="shared" si="2"/>
        <v>1.1415633046188475E-11</v>
      </c>
      <c r="I55" s="1">
        <f t="shared" si="1"/>
        <v>1.9164610627353835E-3</v>
      </c>
      <c r="J55" s="8">
        <v>0</v>
      </c>
      <c r="K55" s="8">
        <v>0</v>
      </c>
      <c r="L55" s="10" t="s">
        <v>188</v>
      </c>
    </row>
    <row r="56" spans="1:13" x14ac:dyDescent="0.2">
      <c r="A56" s="6" t="s">
        <v>33</v>
      </c>
      <c r="B56" s="1">
        <f>E41</f>
        <v>6100</v>
      </c>
      <c r="C56">
        <v>55</v>
      </c>
      <c r="D56" s="5" t="s">
        <v>46</v>
      </c>
      <c r="E56" s="1">
        <v>0.16</v>
      </c>
      <c r="F56">
        <v>-0.79</v>
      </c>
      <c r="G56">
        <v>2.5</v>
      </c>
      <c r="H56" s="1">
        <f t="shared" si="2"/>
        <v>1.2516992730317237E-5</v>
      </c>
      <c r="I56" s="1">
        <f t="shared" si="1"/>
        <v>2101.3577690467482</v>
      </c>
      <c r="J56" s="8">
        <v>1</v>
      </c>
      <c r="K56" s="8">
        <v>1</v>
      </c>
      <c r="L56" s="10"/>
    </row>
    <row r="57" spans="1:13" x14ac:dyDescent="0.2">
      <c r="A57" s="5" t="s">
        <v>85</v>
      </c>
      <c r="B57" s="1">
        <v>100000000</v>
      </c>
      <c r="C57">
        <v>56</v>
      </c>
      <c r="D57" s="4" t="s">
        <v>218</v>
      </c>
      <c r="E57" s="1">
        <v>2.65E-7</v>
      </c>
      <c r="F57">
        <v>-6.58</v>
      </c>
      <c r="G57">
        <v>0.02</v>
      </c>
      <c r="H57" s="1">
        <f>10^($F57-1.645*G57)</f>
        <v>2.4383722096838251E-7</v>
      </c>
      <c r="I57" s="1">
        <f>10^($F57+1.645*$G57)</f>
        <v>2.8372656486625603E-7</v>
      </c>
      <c r="J57" s="8">
        <v>2</v>
      </c>
      <c r="K57" s="8">
        <v>2</v>
      </c>
      <c r="L57" s="10" t="s">
        <v>197</v>
      </c>
    </row>
    <row r="58" spans="1:13" x14ac:dyDescent="0.2">
      <c r="A58" s="5" t="s">
        <v>86</v>
      </c>
      <c r="B58" s="1">
        <f>E42*B57-E43</f>
        <v>4.9999431999999997</v>
      </c>
      <c r="C58">
        <v>57</v>
      </c>
      <c r="D58" s="4" t="s">
        <v>220</v>
      </c>
      <c r="E58" s="1">
        <v>5.7999999999999996E-3</v>
      </c>
      <c r="F58" s="3">
        <v>-2.2400000000000002</v>
      </c>
      <c r="G58">
        <v>2.5</v>
      </c>
      <c r="H58" s="1">
        <f>10^($F58-1.645*G58)</f>
        <v>4.4411966136558828E-7</v>
      </c>
      <c r="I58" s="1">
        <f>10^($F58+1.645*$G58)</f>
        <v>74.558987202778141</v>
      </c>
      <c r="J58" s="8">
        <v>1</v>
      </c>
      <c r="K58" s="8">
        <v>1</v>
      </c>
      <c r="L58" s="10"/>
    </row>
    <row r="59" spans="1:13" x14ac:dyDescent="0.2">
      <c r="A59" s="5" t="s">
        <v>34</v>
      </c>
      <c r="B59" s="1">
        <f>E43</f>
        <v>5.6799999999999998E-5</v>
      </c>
      <c r="C59">
        <v>58</v>
      </c>
      <c r="D59" s="6" t="s">
        <v>219</v>
      </c>
      <c r="E59" s="1">
        <v>1.4E-3</v>
      </c>
      <c r="F59">
        <v>-2.85</v>
      </c>
      <c r="G59">
        <v>2.5</v>
      </c>
      <c r="H59" s="1">
        <f>10^($F59-1.645*G59)</f>
        <v>1.0901844923851266E-7</v>
      </c>
      <c r="I59" s="1">
        <f>10^($F59+1.645*$G59)</f>
        <v>18.30206106311055</v>
      </c>
      <c r="J59" s="8">
        <v>0</v>
      </c>
      <c r="K59" s="9">
        <v>0</v>
      </c>
      <c r="L59" s="12" t="s">
        <v>198</v>
      </c>
      <c r="M59" s="1"/>
    </row>
    <row r="60" spans="1:13" x14ac:dyDescent="0.2">
      <c r="A60" s="5" t="s">
        <v>87</v>
      </c>
      <c r="B60" s="1">
        <v>100000000</v>
      </c>
      <c r="C60">
        <v>59</v>
      </c>
      <c r="D60" s="4" t="s">
        <v>155</v>
      </c>
      <c r="E60" s="1">
        <v>3.4999999999999999E-9</v>
      </c>
      <c r="F60">
        <v>-8.4499999999999993</v>
      </c>
      <c r="G60">
        <v>0.22</v>
      </c>
      <c r="H60" s="1">
        <f t="shared" si="2"/>
        <v>1.5420554834704713E-9</v>
      </c>
      <c r="I60" s="1">
        <f t="shared" si="1"/>
        <v>8.1639436796456624E-9</v>
      </c>
      <c r="J60" s="8">
        <v>3</v>
      </c>
      <c r="K60" s="8">
        <v>3</v>
      </c>
      <c r="L60" s="10" t="s">
        <v>199</v>
      </c>
    </row>
    <row r="61" spans="1:13" x14ac:dyDescent="0.2">
      <c r="A61" s="5" t="s">
        <v>88</v>
      </c>
      <c r="B61" s="1">
        <f>E44*B60-E45</f>
        <v>4.9998469999999999</v>
      </c>
      <c r="C61">
        <v>60</v>
      </c>
      <c r="D61" s="4" t="s">
        <v>156</v>
      </c>
      <c r="E61" s="1">
        <v>10000000</v>
      </c>
      <c r="F61">
        <v>7</v>
      </c>
      <c r="G61">
        <v>2.5</v>
      </c>
      <c r="H61" s="1">
        <f t="shared" si="2"/>
        <v>771.79151558501303</v>
      </c>
      <c r="I61" s="1">
        <f t="shared" si="1"/>
        <v>129568669751.70247</v>
      </c>
      <c r="J61" s="8">
        <v>0</v>
      </c>
      <c r="K61" s="8">
        <v>0</v>
      </c>
      <c r="L61" s="10"/>
    </row>
    <row r="62" spans="1:13" x14ac:dyDescent="0.2">
      <c r="A62" s="5" t="s">
        <v>36</v>
      </c>
      <c r="B62" s="1">
        <f>E45</f>
        <v>1.5300000000000001E-4</v>
      </c>
      <c r="C62">
        <v>61</v>
      </c>
      <c r="D62" s="6" t="s">
        <v>157</v>
      </c>
      <c r="E62" s="1">
        <v>490</v>
      </c>
      <c r="F62">
        <v>2.69</v>
      </c>
      <c r="G62">
        <v>2.5</v>
      </c>
      <c r="H62" s="1">
        <f>10^($F62-1.645*G62)</f>
        <v>3.780071373018111E-2</v>
      </c>
      <c r="I62" s="1">
        <f t="shared" si="1"/>
        <v>6345999.009812885</v>
      </c>
      <c r="J62" s="8">
        <v>1</v>
      </c>
      <c r="K62" s="8">
        <v>1</v>
      </c>
      <c r="L62" s="12" t="s">
        <v>200</v>
      </c>
    </row>
    <row r="63" spans="1:13" x14ac:dyDescent="0.2">
      <c r="A63" s="6" t="s">
        <v>37</v>
      </c>
      <c r="B63" s="1">
        <f>E46</f>
        <v>400</v>
      </c>
      <c r="C63">
        <v>62</v>
      </c>
      <c r="D63" s="6" t="s">
        <v>50</v>
      </c>
      <c r="E63" s="1">
        <v>317</v>
      </c>
      <c r="F63">
        <v>2.5</v>
      </c>
      <c r="G63">
        <v>2.5</v>
      </c>
      <c r="H63" s="1">
        <f t="shared" si="2"/>
        <v>2.4406190680419798E-2</v>
      </c>
      <c r="I63" s="1">
        <f>10^($F63+1.645*$G63)</f>
        <v>4097321.0981354183</v>
      </c>
      <c r="J63" s="8">
        <v>0</v>
      </c>
      <c r="K63" s="8">
        <v>0</v>
      </c>
      <c r="L63" s="12" t="s">
        <v>201</v>
      </c>
    </row>
    <row r="64" spans="1:13" x14ac:dyDescent="0.2">
      <c r="A64" s="5" t="s">
        <v>89</v>
      </c>
      <c r="B64" s="1">
        <v>100000000</v>
      </c>
      <c r="C64">
        <v>63</v>
      </c>
      <c r="D64" s="4" t="s">
        <v>112</v>
      </c>
      <c r="E64" s="1">
        <v>9.2000000000000005E-11</v>
      </c>
      <c r="F64">
        <v>-10.029999999999999</v>
      </c>
      <c r="G64">
        <v>0.9</v>
      </c>
      <c r="H64" s="1">
        <f t="shared" si="2"/>
        <v>3.0867396456838528E-12</v>
      </c>
      <c r="I64" s="1">
        <f t="shared" si="1"/>
        <v>2.8216295830908101E-9</v>
      </c>
      <c r="J64" s="8">
        <v>2</v>
      </c>
      <c r="K64" s="8">
        <v>2</v>
      </c>
      <c r="L64" s="10" t="s">
        <v>202</v>
      </c>
    </row>
    <row r="65" spans="1:12" x14ac:dyDescent="0.2">
      <c r="A65" s="5" t="s">
        <v>90</v>
      </c>
      <c r="B65" s="1">
        <f>E47*B64-E48</f>
        <v>11.270000000000001</v>
      </c>
      <c r="C65">
        <v>64</v>
      </c>
      <c r="D65" s="4" t="s">
        <v>111</v>
      </c>
      <c r="E65" s="1">
        <v>3800000</v>
      </c>
      <c r="F65">
        <v>6.58</v>
      </c>
      <c r="G65">
        <v>0.88</v>
      </c>
      <c r="H65" s="1">
        <f t="shared" si="2"/>
        <v>135643.81629092718</v>
      </c>
      <c r="I65" s="1">
        <f t="shared" si="1"/>
        <v>106561420.21585187</v>
      </c>
      <c r="J65" s="8">
        <v>2</v>
      </c>
      <c r="K65" s="8">
        <v>2</v>
      </c>
      <c r="L65" s="10"/>
    </row>
    <row r="66" spans="1:12" x14ac:dyDescent="0.2">
      <c r="A66" s="5" t="s">
        <v>39</v>
      </c>
      <c r="B66" s="1">
        <f>E48</f>
        <v>0.43</v>
      </c>
      <c r="C66">
        <v>65</v>
      </c>
      <c r="D66" s="4" t="s">
        <v>113</v>
      </c>
      <c r="E66" s="1">
        <v>1.5E-10</v>
      </c>
      <c r="F66">
        <v>-9.82</v>
      </c>
      <c r="G66">
        <v>2.5</v>
      </c>
      <c r="H66" s="1">
        <f t="shared" si="2"/>
        <v>1.1681537298613225E-14</v>
      </c>
      <c r="I66" s="1">
        <f t="shared" si="1"/>
        <v>1.961101175476043E-6</v>
      </c>
      <c r="J66" s="8">
        <v>1</v>
      </c>
      <c r="K66" s="8">
        <v>1</v>
      </c>
      <c r="L66" s="10" t="s">
        <v>203</v>
      </c>
    </row>
    <row r="67" spans="1:12" x14ac:dyDescent="0.2">
      <c r="A67" s="5" t="s">
        <v>91</v>
      </c>
      <c r="B67" s="1">
        <v>100000000</v>
      </c>
      <c r="C67">
        <v>66</v>
      </c>
      <c r="D67" s="4" t="s">
        <v>114</v>
      </c>
      <c r="E67" s="1">
        <v>8900000</v>
      </c>
      <c r="F67">
        <v>6.95</v>
      </c>
      <c r="G67">
        <v>0.12</v>
      </c>
      <c r="H67" s="1">
        <f t="shared" si="2"/>
        <v>5657180.0347757414</v>
      </c>
      <c r="I67" s="1">
        <f t="shared" si="1"/>
        <v>14041063.389204504</v>
      </c>
      <c r="J67" s="8">
        <v>2</v>
      </c>
      <c r="K67" s="8">
        <v>2</v>
      </c>
      <c r="L67" s="10"/>
    </row>
    <row r="68" spans="1:12" x14ac:dyDescent="0.2">
      <c r="A68" s="5" t="s">
        <v>92</v>
      </c>
      <c r="B68" s="1">
        <f>E49*B67-E50</f>
        <v>0.79983800000000005</v>
      </c>
      <c r="C68">
        <v>67</v>
      </c>
      <c r="D68" s="6" t="s">
        <v>158</v>
      </c>
      <c r="E68" s="1">
        <v>72</v>
      </c>
      <c r="F68">
        <v>1.86</v>
      </c>
      <c r="G68">
        <v>0.25</v>
      </c>
      <c r="H68" s="1">
        <f t="shared" si="2"/>
        <v>28.102826359636609</v>
      </c>
      <c r="I68" s="1">
        <f t="shared" si="1"/>
        <v>186.74543746373547</v>
      </c>
      <c r="J68" s="8">
        <v>2</v>
      </c>
      <c r="K68" s="8">
        <v>2</v>
      </c>
      <c r="L68" s="12" t="s">
        <v>211</v>
      </c>
    </row>
    <row r="69" spans="1:12" x14ac:dyDescent="0.2">
      <c r="A69" s="5" t="s">
        <v>41</v>
      </c>
      <c r="B69" s="1">
        <f>E50</f>
        <v>1.6200000000000001E-4</v>
      </c>
      <c r="C69">
        <v>68</v>
      </c>
      <c r="D69" s="6" t="s">
        <v>116</v>
      </c>
      <c r="E69" s="1">
        <v>262</v>
      </c>
      <c r="F69">
        <v>2.42</v>
      </c>
      <c r="G69">
        <v>2.5</v>
      </c>
      <c r="H69" s="1">
        <f t="shared" si="2"/>
        <v>2.0300185198596832E-2</v>
      </c>
      <c r="I69" s="1">
        <f t="shared" ref="I69:I85" si="3">10^($F69+1.645*$G69)</f>
        <v>3408003.2480036551</v>
      </c>
      <c r="J69" s="8">
        <v>1</v>
      </c>
      <c r="K69" s="8">
        <v>1</v>
      </c>
      <c r="L69" s="12" t="s">
        <v>204</v>
      </c>
    </row>
    <row r="70" spans="1:12" x14ac:dyDescent="0.2">
      <c r="A70" s="5" t="s">
        <v>93</v>
      </c>
      <c r="B70" s="1">
        <v>100000000</v>
      </c>
      <c r="C70">
        <v>69</v>
      </c>
      <c r="D70" s="6" t="s">
        <v>117</v>
      </c>
      <c r="E70" s="1">
        <v>262</v>
      </c>
      <c r="F70" s="3">
        <v>2.42</v>
      </c>
      <c r="G70">
        <v>2.5</v>
      </c>
      <c r="H70" s="1">
        <f t="shared" si="2"/>
        <v>2.0300185198596832E-2</v>
      </c>
      <c r="I70" s="1">
        <f t="shared" si="3"/>
        <v>3408003.2480036551</v>
      </c>
      <c r="J70" s="8">
        <v>1</v>
      </c>
      <c r="K70" s="8">
        <v>1</v>
      </c>
      <c r="L70" s="12" t="s">
        <v>212</v>
      </c>
    </row>
    <row r="71" spans="1:12" x14ac:dyDescent="0.2">
      <c r="A71" s="5" t="s">
        <v>94</v>
      </c>
      <c r="B71" s="1">
        <f>E51*B70-E52</f>
        <v>41.26</v>
      </c>
      <c r="C71">
        <v>70</v>
      </c>
      <c r="D71" s="6" t="s">
        <v>118</v>
      </c>
      <c r="E71" s="1">
        <v>82</v>
      </c>
      <c r="F71" s="3">
        <v>1.91</v>
      </c>
      <c r="G71">
        <v>0.12</v>
      </c>
      <c r="H71" s="1">
        <f t="shared" si="2"/>
        <v>51.594095119033128</v>
      </c>
      <c r="I71" s="1">
        <f t="shared" si="3"/>
        <v>128.05602007037925</v>
      </c>
      <c r="J71" s="8">
        <v>2</v>
      </c>
      <c r="K71" s="8">
        <v>2</v>
      </c>
      <c r="L71" s="12" t="s">
        <v>205</v>
      </c>
    </row>
    <row r="72" spans="1:12" x14ac:dyDescent="0.2">
      <c r="A72" s="5" t="s">
        <v>43</v>
      </c>
      <c r="B72" s="1">
        <f>E52</f>
        <v>0.74</v>
      </c>
      <c r="C72">
        <v>71</v>
      </c>
      <c r="D72" s="6" t="s">
        <v>119</v>
      </c>
      <c r="E72" s="1">
        <v>656</v>
      </c>
      <c r="F72">
        <v>2.82</v>
      </c>
      <c r="G72">
        <v>0.26</v>
      </c>
      <c r="H72" s="1">
        <f t="shared" ref="H72:H85" si="4">10^($F72-1.645*G72)</f>
        <v>246.77434053558525</v>
      </c>
      <c r="I72" s="1">
        <f t="shared" si="3"/>
        <v>1768.8866325922579</v>
      </c>
      <c r="J72" s="8">
        <v>2</v>
      </c>
      <c r="K72" s="8">
        <v>2</v>
      </c>
      <c r="L72" s="12" t="s">
        <v>206</v>
      </c>
    </row>
    <row r="73" spans="1:12" x14ac:dyDescent="0.2">
      <c r="A73" s="5" t="s">
        <v>95</v>
      </c>
      <c r="B73" s="1">
        <v>100000000</v>
      </c>
      <c r="C73">
        <v>72</v>
      </c>
      <c r="D73" s="6" t="s">
        <v>120</v>
      </c>
      <c r="E73" s="1">
        <v>488</v>
      </c>
      <c r="F73">
        <v>2.69</v>
      </c>
      <c r="G73">
        <v>2.5</v>
      </c>
      <c r="H73" s="1">
        <f t="shared" si="4"/>
        <v>3.780071373018111E-2</v>
      </c>
      <c r="I73" s="1">
        <f t="shared" si="3"/>
        <v>6345999.009812885</v>
      </c>
      <c r="J73" s="8">
        <v>1</v>
      </c>
      <c r="K73" s="8">
        <v>1</v>
      </c>
      <c r="L73" s="12" t="s">
        <v>210</v>
      </c>
    </row>
    <row r="74" spans="1:12" x14ac:dyDescent="0.2">
      <c r="A74" s="5" t="s">
        <v>96</v>
      </c>
      <c r="B74" s="1">
        <f>E53*B73-E54</f>
        <v>13.9</v>
      </c>
      <c r="C74">
        <v>73</v>
      </c>
      <c r="D74" s="6" t="s">
        <v>121</v>
      </c>
      <c r="E74" s="1">
        <v>1096</v>
      </c>
      <c r="F74">
        <v>3.04</v>
      </c>
      <c r="G74">
        <v>0.3</v>
      </c>
      <c r="H74" s="1">
        <f t="shared" si="4"/>
        <v>351.96542252476604</v>
      </c>
      <c r="I74" s="1">
        <f t="shared" si="3"/>
        <v>3415.8595068605559</v>
      </c>
      <c r="J74" s="8">
        <v>2</v>
      </c>
      <c r="K74" s="8">
        <v>2</v>
      </c>
      <c r="L74" s="12" t="s">
        <v>207</v>
      </c>
    </row>
    <row r="75" spans="1:12" x14ac:dyDescent="0.2">
      <c r="A75" s="5" t="s">
        <v>44</v>
      </c>
      <c r="B75" s="1">
        <f>E54</f>
        <v>0.8</v>
      </c>
      <c r="C75">
        <v>74</v>
      </c>
      <c r="D75" s="6" t="s">
        <v>122</v>
      </c>
      <c r="E75" s="1">
        <v>210000</v>
      </c>
      <c r="F75">
        <v>5.32</v>
      </c>
      <c r="G75">
        <v>2.5</v>
      </c>
      <c r="H75" s="1">
        <f t="shared" si="4"/>
        <v>16.125010273377438</v>
      </c>
      <c r="I75" s="1">
        <f t="shared" si="3"/>
        <v>2707073203.9213729</v>
      </c>
      <c r="J75" s="8">
        <v>1</v>
      </c>
      <c r="K75" s="8">
        <v>1</v>
      </c>
      <c r="L75" s="12" t="s">
        <v>208</v>
      </c>
    </row>
    <row r="76" spans="1:12" x14ac:dyDescent="0.2">
      <c r="A76" s="5" t="s">
        <v>97</v>
      </c>
      <c r="B76" s="1">
        <v>100000000</v>
      </c>
      <c r="C76">
        <v>75</v>
      </c>
      <c r="D76" s="7" t="s">
        <v>213</v>
      </c>
      <c r="E76" s="1">
        <v>100000000</v>
      </c>
      <c r="F76" s="3">
        <v>8</v>
      </c>
      <c r="G76">
        <v>1.5</v>
      </c>
      <c r="H76" s="1">
        <f t="shared" si="4"/>
        <v>340800.32480036514</v>
      </c>
      <c r="I76" s="1">
        <f t="shared" si="3"/>
        <v>29342695039.559879</v>
      </c>
      <c r="J76" s="8">
        <v>0</v>
      </c>
      <c r="K76" s="8">
        <v>0</v>
      </c>
      <c r="L76" s="11" t="s">
        <v>189</v>
      </c>
    </row>
    <row r="77" spans="1:12" x14ac:dyDescent="0.2">
      <c r="A77" s="5" t="s">
        <v>98</v>
      </c>
      <c r="B77" s="1">
        <f>E55*B76-E56</f>
        <v>14.540000000000001</v>
      </c>
      <c r="C77">
        <v>76</v>
      </c>
      <c r="D77" s="7" t="s">
        <v>217</v>
      </c>
      <c r="E77" s="1">
        <v>636</v>
      </c>
      <c r="F77" s="3">
        <v>2.8</v>
      </c>
      <c r="G77">
        <v>1.5</v>
      </c>
      <c r="H77" s="1">
        <f t="shared" si="4"/>
        <v>2.1503046793402545</v>
      </c>
      <c r="I77" s="1">
        <f t="shared" si="3"/>
        <v>185139.88942052741</v>
      </c>
      <c r="J77" s="8">
        <v>1</v>
      </c>
      <c r="K77" s="8">
        <v>0</v>
      </c>
      <c r="L77" s="11"/>
    </row>
    <row r="78" spans="1:12" x14ac:dyDescent="0.2">
      <c r="A78" s="5" t="s">
        <v>46</v>
      </c>
      <c r="B78" s="1">
        <f>E56</f>
        <v>0.16</v>
      </c>
      <c r="C78">
        <v>77</v>
      </c>
      <c r="D78" s="7" t="s">
        <v>163</v>
      </c>
      <c r="E78" s="1">
        <v>84</v>
      </c>
      <c r="F78" s="3">
        <v>1.92</v>
      </c>
      <c r="G78">
        <v>1.5</v>
      </c>
      <c r="H78" s="1">
        <f t="shared" si="4"/>
        <v>0.28346536334896649</v>
      </c>
      <c r="I78" s="1">
        <f t="shared" si="3"/>
        <v>24406.190680419822</v>
      </c>
      <c r="J78" s="8">
        <v>1</v>
      </c>
      <c r="K78" s="8">
        <v>0</v>
      </c>
      <c r="L78" s="11"/>
    </row>
    <row r="79" spans="1:12" x14ac:dyDescent="0.2">
      <c r="A79" s="4" t="s">
        <v>124</v>
      </c>
      <c r="B79" s="1">
        <f>E58</f>
        <v>5.7999999999999996E-3</v>
      </c>
      <c r="C79">
        <v>78</v>
      </c>
      <c r="D79" s="7" t="s">
        <v>215</v>
      </c>
      <c r="E79" s="1">
        <v>100000000</v>
      </c>
      <c r="F79" s="3">
        <v>8</v>
      </c>
      <c r="G79">
        <v>1.5</v>
      </c>
      <c r="H79" s="1">
        <f t="shared" si="4"/>
        <v>340800.32480036514</v>
      </c>
      <c r="I79" s="1">
        <f t="shared" si="3"/>
        <v>29342695039.559879</v>
      </c>
      <c r="J79" s="8">
        <v>0</v>
      </c>
      <c r="K79" s="8">
        <v>0</v>
      </c>
      <c r="L79" s="11" t="s">
        <v>190</v>
      </c>
    </row>
    <row r="80" spans="1:12" x14ac:dyDescent="0.2">
      <c r="A80" s="4" t="s">
        <v>125</v>
      </c>
      <c r="B80" s="1">
        <f>E58/E57</f>
        <v>21886.792452830188</v>
      </c>
      <c r="C80">
        <v>79</v>
      </c>
      <c r="D80" s="7" t="s">
        <v>216</v>
      </c>
      <c r="E80" s="1">
        <v>742.6</v>
      </c>
      <c r="F80" s="3">
        <v>2.87</v>
      </c>
      <c r="G80">
        <v>1.5</v>
      </c>
      <c r="H80" s="1">
        <f t="shared" si="4"/>
        <v>2.5263877101318957</v>
      </c>
      <c r="I80" s="1">
        <f t="shared" si="3"/>
        <v>217520.40340195276</v>
      </c>
      <c r="J80" s="8">
        <v>0</v>
      </c>
      <c r="K80" s="8">
        <v>0</v>
      </c>
      <c r="L80" s="11"/>
    </row>
    <row r="81" spans="1:12" x14ac:dyDescent="0.2">
      <c r="A81" s="6" t="s">
        <v>123</v>
      </c>
      <c r="B81" s="1">
        <f>E59</f>
        <v>1.4E-3</v>
      </c>
      <c r="C81">
        <v>80</v>
      </c>
      <c r="D81" s="7" t="s">
        <v>214</v>
      </c>
      <c r="E81" s="1">
        <v>7.45</v>
      </c>
      <c r="F81" s="3">
        <v>0.87</v>
      </c>
      <c r="G81">
        <v>1.5</v>
      </c>
      <c r="H81" s="1">
        <f t="shared" si="4"/>
        <v>2.5263877101318947E-2</v>
      </c>
      <c r="I81" s="1">
        <f t="shared" si="3"/>
        <v>2175.2040340195267</v>
      </c>
      <c r="J81" s="8">
        <v>1</v>
      </c>
      <c r="K81" s="8">
        <v>0</v>
      </c>
      <c r="L81" s="11"/>
    </row>
    <row r="82" spans="1:12" x14ac:dyDescent="0.2">
      <c r="A82" s="4" t="s">
        <v>47</v>
      </c>
      <c r="B82" s="1">
        <f>E61</f>
        <v>10000000</v>
      </c>
      <c r="C82">
        <v>81</v>
      </c>
      <c r="D82" s="7" t="s">
        <v>221</v>
      </c>
      <c r="E82" s="1">
        <v>100000000</v>
      </c>
      <c r="F82" s="3">
        <v>8</v>
      </c>
      <c r="G82">
        <v>1.5</v>
      </c>
      <c r="H82" s="1">
        <f t="shared" si="4"/>
        <v>340800.32480036514</v>
      </c>
      <c r="I82" s="1">
        <f t="shared" si="3"/>
        <v>29342695039.559879</v>
      </c>
      <c r="J82" s="8">
        <v>0</v>
      </c>
      <c r="K82" s="8">
        <v>0</v>
      </c>
      <c r="L82" s="11" t="s">
        <v>209</v>
      </c>
    </row>
    <row r="83" spans="1:12" x14ac:dyDescent="0.2">
      <c r="A83" s="4" t="s">
        <v>48</v>
      </c>
      <c r="B83" s="1">
        <f>E61*E60</f>
        <v>3.4999999999999996E-2</v>
      </c>
      <c r="C83">
        <v>82</v>
      </c>
      <c r="D83" s="7" t="s">
        <v>222</v>
      </c>
      <c r="E83" s="1">
        <v>1000</v>
      </c>
      <c r="F83" s="3">
        <v>3</v>
      </c>
      <c r="G83">
        <v>1.5</v>
      </c>
      <c r="H83" s="1">
        <f t="shared" si="4"/>
        <v>3.4080032480036486</v>
      </c>
      <c r="I83" s="1">
        <f t="shared" si="3"/>
        <v>293426.9503955972</v>
      </c>
      <c r="J83" s="8">
        <v>1</v>
      </c>
      <c r="K83" s="8">
        <v>0</v>
      </c>
      <c r="L83" s="11"/>
    </row>
    <row r="84" spans="1:12" x14ac:dyDescent="0.2">
      <c r="A84" s="6" t="s">
        <v>49</v>
      </c>
      <c r="B84" s="1">
        <f>E62</f>
        <v>490</v>
      </c>
      <c r="C84">
        <v>83</v>
      </c>
      <c r="D84" s="7" t="s">
        <v>159</v>
      </c>
      <c r="E84" s="1">
        <v>6100</v>
      </c>
      <c r="F84" s="3">
        <v>3.79</v>
      </c>
      <c r="G84">
        <v>1.5</v>
      </c>
      <c r="H84" s="1">
        <f t="shared" si="4"/>
        <v>21.013577690467475</v>
      </c>
      <c r="I84" s="1">
        <f t="shared" si="3"/>
        <v>1809255.9102538251</v>
      </c>
      <c r="J84" s="8">
        <v>0</v>
      </c>
      <c r="K84" s="8">
        <v>1</v>
      </c>
      <c r="L84" s="13" t="s">
        <v>159</v>
      </c>
    </row>
    <row r="85" spans="1:12" x14ac:dyDescent="0.2">
      <c r="A85" s="6" t="s">
        <v>50</v>
      </c>
      <c r="B85" s="1">
        <f>E63</f>
        <v>317</v>
      </c>
      <c r="C85">
        <v>84</v>
      </c>
      <c r="D85" s="7" t="s">
        <v>160</v>
      </c>
      <c r="E85" s="1">
        <v>3800</v>
      </c>
      <c r="F85" s="3">
        <v>3.58</v>
      </c>
      <c r="G85">
        <v>1.5</v>
      </c>
      <c r="H85" s="1">
        <f t="shared" si="4"/>
        <v>12.956866975170195</v>
      </c>
      <c r="I85" s="1">
        <f t="shared" si="3"/>
        <v>1115578.1513508551</v>
      </c>
      <c r="J85" s="8">
        <v>1</v>
      </c>
      <c r="K85" s="8">
        <v>1</v>
      </c>
      <c r="L85" s="13" t="s">
        <v>160</v>
      </c>
    </row>
    <row r="86" spans="1:12" x14ac:dyDescent="0.2">
      <c r="A86" s="4" t="s">
        <v>51</v>
      </c>
      <c r="B86" s="1">
        <f>E65</f>
        <v>3800000</v>
      </c>
      <c r="C86">
        <v>85</v>
      </c>
      <c r="D86" s="5" t="s">
        <v>161</v>
      </c>
      <c r="E86" s="1">
        <v>1.9499999999999999E-3</v>
      </c>
      <c r="F86" s="3">
        <v>-2.71</v>
      </c>
      <c r="G86">
        <v>0</v>
      </c>
      <c r="H86" s="1">
        <f>10^($F86-1.645*G86)</f>
        <v>1.9498445997580441E-3</v>
      </c>
      <c r="I86" s="1">
        <f>10^($F86+1.645*$G86)</f>
        <v>1.9498445997580441E-3</v>
      </c>
      <c r="J86" s="8">
        <v>1</v>
      </c>
      <c r="K86" s="8">
        <v>1</v>
      </c>
      <c r="L86" s="10" t="s">
        <v>167</v>
      </c>
    </row>
    <row r="87" spans="1:12" x14ac:dyDescent="0.2">
      <c r="A87" s="4" t="s">
        <v>52</v>
      </c>
      <c r="B87" s="1">
        <f>E64*E65</f>
        <v>3.4960000000000004E-4</v>
      </c>
      <c r="C87">
        <v>86</v>
      </c>
      <c r="D87" s="5" t="s">
        <v>162</v>
      </c>
      <c r="E87" s="1">
        <v>1.91</v>
      </c>
      <c r="F87" s="3">
        <v>0.28000000000000003</v>
      </c>
      <c r="G87">
        <v>0</v>
      </c>
      <c r="H87" s="1">
        <f>10^($F87-1.645*G87)</f>
        <v>1.9054607179632475</v>
      </c>
      <c r="I87" s="1">
        <f>10^($F87+1.645*$G87)</f>
        <v>1.9054607179632475</v>
      </c>
      <c r="J87" s="8">
        <v>1</v>
      </c>
      <c r="K87" s="8">
        <v>1</v>
      </c>
      <c r="L87" s="10"/>
    </row>
    <row r="88" spans="1:12" x14ac:dyDescent="0.2">
      <c r="A88" s="4" t="s">
        <v>53</v>
      </c>
      <c r="B88" s="1">
        <f>E67</f>
        <v>8900000</v>
      </c>
      <c r="C88">
        <v>87</v>
      </c>
      <c r="E88" s="1"/>
    </row>
    <row r="89" spans="1:12" x14ac:dyDescent="0.2">
      <c r="A89" s="4" t="s">
        <v>54</v>
      </c>
      <c r="B89" s="1">
        <f>E67*E66</f>
        <v>1.335E-3</v>
      </c>
      <c r="C89">
        <v>88</v>
      </c>
      <c r="E89" s="1"/>
    </row>
    <row r="90" spans="1:12" x14ac:dyDescent="0.2">
      <c r="A90" s="6" t="s">
        <v>115</v>
      </c>
      <c r="B90" s="1">
        <f>E68</f>
        <v>72</v>
      </c>
      <c r="C90">
        <v>89</v>
      </c>
      <c r="E90" s="1"/>
    </row>
    <row r="91" spans="1:12" x14ac:dyDescent="0.2">
      <c r="A91" s="6" t="s">
        <v>116</v>
      </c>
      <c r="B91" s="1">
        <f t="shared" ref="B91:B96" si="5">E69</f>
        <v>262</v>
      </c>
      <c r="C91">
        <v>90</v>
      </c>
      <c r="E91" s="1"/>
    </row>
    <row r="92" spans="1:12" x14ac:dyDescent="0.2">
      <c r="A92" s="6" t="s">
        <v>117</v>
      </c>
      <c r="B92" s="1">
        <f t="shared" si="5"/>
        <v>262</v>
      </c>
      <c r="C92">
        <v>91</v>
      </c>
      <c r="E92" s="1"/>
    </row>
    <row r="93" spans="1:12" x14ac:dyDescent="0.2">
      <c r="A93" s="6" t="s">
        <v>118</v>
      </c>
      <c r="B93" s="1">
        <f t="shared" si="5"/>
        <v>82</v>
      </c>
      <c r="C93">
        <v>92</v>
      </c>
      <c r="E93" s="1"/>
    </row>
    <row r="94" spans="1:12" x14ac:dyDescent="0.2">
      <c r="A94" s="6" t="s">
        <v>119</v>
      </c>
      <c r="B94" s="1">
        <f t="shared" si="5"/>
        <v>656</v>
      </c>
      <c r="C94">
        <v>93</v>
      </c>
    </row>
    <row r="95" spans="1:12" x14ac:dyDescent="0.2">
      <c r="A95" s="6" t="s">
        <v>120</v>
      </c>
      <c r="B95" s="1">
        <f t="shared" si="5"/>
        <v>488</v>
      </c>
      <c r="C95">
        <v>94</v>
      </c>
    </row>
    <row r="96" spans="1:12" x14ac:dyDescent="0.2">
      <c r="A96" s="6" t="s">
        <v>121</v>
      </c>
      <c r="B96" s="1">
        <f t="shared" si="5"/>
        <v>1096</v>
      </c>
      <c r="C96">
        <v>95</v>
      </c>
    </row>
    <row r="97" spans="1:3" x14ac:dyDescent="0.2">
      <c r="A97" s="6" t="s">
        <v>122</v>
      </c>
      <c r="B97" s="1">
        <f>E75</f>
        <v>210000</v>
      </c>
      <c r="C97">
        <v>96</v>
      </c>
    </row>
    <row r="98" spans="1:3" x14ac:dyDescent="0.2">
      <c r="A98" s="7" t="s">
        <v>126</v>
      </c>
      <c r="B98" s="1">
        <f>E76</f>
        <v>100000000</v>
      </c>
      <c r="C98">
        <v>97</v>
      </c>
    </row>
    <row r="99" spans="1:3" x14ac:dyDescent="0.2">
      <c r="A99" s="7" t="s">
        <v>127</v>
      </c>
      <c r="B99" s="1">
        <f t="shared" ref="B99:B106" si="6">E77</f>
        <v>636</v>
      </c>
      <c r="C99">
        <v>98</v>
      </c>
    </row>
    <row r="100" spans="1:3" x14ac:dyDescent="0.2">
      <c r="A100" s="7" t="s">
        <v>128</v>
      </c>
      <c r="B100" s="1">
        <f t="shared" si="6"/>
        <v>84</v>
      </c>
      <c r="C100">
        <v>99</v>
      </c>
    </row>
    <row r="101" spans="1:3" x14ac:dyDescent="0.2">
      <c r="A101" s="7" t="s">
        <v>129</v>
      </c>
      <c r="B101" s="1">
        <f t="shared" si="6"/>
        <v>100000000</v>
      </c>
      <c r="C101">
        <v>100</v>
      </c>
    </row>
    <row r="102" spans="1:3" x14ac:dyDescent="0.2">
      <c r="A102" s="7" t="s">
        <v>130</v>
      </c>
      <c r="B102" s="1">
        <f t="shared" si="6"/>
        <v>742.6</v>
      </c>
      <c r="C102">
        <v>101</v>
      </c>
    </row>
    <row r="103" spans="1:3" x14ac:dyDescent="0.2">
      <c r="A103" s="7" t="s">
        <v>131</v>
      </c>
      <c r="B103" s="1">
        <f t="shared" si="6"/>
        <v>7.45</v>
      </c>
      <c r="C103">
        <v>102</v>
      </c>
    </row>
    <row r="104" spans="1:3" x14ac:dyDescent="0.2">
      <c r="A104" s="7" t="s">
        <v>132</v>
      </c>
      <c r="B104" s="1">
        <f t="shared" si="6"/>
        <v>100000000</v>
      </c>
      <c r="C104">
        <v>103</v>
      </c>
    </row>
    <row r="105" spans="1:3" x14ac:dyDescent="0.2">
      <c r="A105" s="7" t="s">
        <v>133</v>
      </c>
      <c r="B105" s="1">
        <f t="shared" si="6"/>
        <v>1000</v>
      </c>
      <c r="C105">
        <v>104</v>
      </c>
    </row>
    <row r="106" spans="1:3" x14ac:dyDescent="0.2">
      <c r="A106" s="7" t="s">
        <v>134</v>
      </c>
      <c r="B106" s="1">
        <f t="shared" si="6"/>
        <v>6100</v>
      </c>
      <c r="C106">
        <v>105</v>
      </c>
    </row>
    <row r="107" spans="1:3" x14ac:dyDescent="0.2">
      <c r="A107" s="7" t="s">
        <v>135</v>
      </c>
      <c r="B107" s="1">
        <f>E85</f>
        <v>3800</v>
      </c>
      <c r="C107">
        <v>106</v>
      </c>
    </row>
    <row r="108" spans="1:3" x14ac:dyDescent="0.2">
      <c r="A108" s="5" t="s">
        <v>99</v>
      </c>
      <c r="B108" s="1">
        <v>100000000</v>
      </c>
      <c r="C108">
        <v>107</v>
      </c>
    </row>
    <row r="109" spans="1:3" x14ac:dyDescent="0.2">
      <c r="A109" s="5" t="s">
        <v>100</v>
      </c>
      <c r="B109" s="1">
        <f>E86*B108-E87</f>
        <v>194998.09</v>
      </c>
      <c r="C109">
        <v>108</v>
      </c>
    </row>
    <row r="110" spans="1:3" x14ac:dyDescent="0.2">
      <c r="A110" s="5" t="s">
        <v>101</v>
      </c>
      <c r="B110" s="1">
        <f>E87</f>
        <v>1.91</v>
      </c>
      <c r="C110">
        <v>109</v>
      </c>
    </row>
    <row r="111" spans="1:3" x14ac:dyDescent="0.2">
      <c r="B111" s="1"/>
    </row>
    <row r="112" spans="1:3" x14ac:dyDescent="0.2">
      <c r="B112" s="1"/>
    </row>
    <row r="113" spans="2:5" x14ac:dyDescent="0.2">
      <c r="B113" s="1"/>
    </row>
    <row r="114" spans="2:5" x14ac:dyDescent="0.2">
      <c r="B114" s="1"/>
    </row>
    <row r="115" spans="2:5" x14ac:dyDescent="0.2">
      <c r="B115" s="1"/>
    </row>
    <row r="116" spans="2:5" x14ac:dyDescent="0.2">
      <c r="B116" s="1"/>
    </row>
    <row r="117" spans="2:5" x14ac:dyDescent="0.2">
      <c r="B117" s="1"/>
    </row>
    <row r="118" spans="2:5" x14ac:dyDescent="0.2">
      <c r="B118" s="1"/>
    </row>
    <row r="119" spans="2:5" x14ac:dyDescent="0.2">
      <c r="B119" s="1"/>
    </row>
    <row r="120" spans="2:5" x14ac:dyDescent="0.2">
      <c r="B120" s="1"/>
    </row>
    <row r="121" spans="2:5" x14ac:dyDescent="0.2">
      <c r="B121" s="1"/>
    </row>
    <row r="122" spans="2:5" x14ac:dyDescent="0.2">
      <c r="B122" s="1"/>
    </row>
    <row r="123" spans="2:5" x14ac:dyDescent="0.2">
      <c r="B123" s="1"/>
    </row>
    <row r="124" spans="2:5" x14ac:dyDescent="0.2">
      <c r="B124" s="1"/>
    </row>
    <row r="125" spans="2:5" x14ac:dyDescent="0.2">
      <c r="B125" s="1"/>
    </row>
    <row r="126" spans="2:5" x14ac:dyDescent="0.2">
      <c r="B126" s="1"/>
    </row>
    <row r="127" spans="2:5" x14ac:dyDescent="0.2">
      <c r="B127" s="1"/>
    </row>
    <row r="128" spans="2:5" x14ac:dyDescent="0.2">
      <c r="B128" s="1"/>
      <c r="E128" s="1"/>
    </row>
    <row r="129" spans="2:5" x14ac:dyDescent="0.2">
      <c r="B129" s="1"/>
      <c r="E129" s="1"/>
    </row>
    <row r="130" spans="2:5" x14ac:dyDescent="0.2">
      <c r="B130" s="1"/>
      <c r="E130" s="1"/>
    </row>
    <row r="131" spans="2:5" x14ac:dyDescent="0.2">
      <c r="B131" s="1"/>
      <c r="E131" s="1"/>
    </row>
    <row r="132" spans="2:5" x14ac:dyDescent="0.2">
      <c r="E132" s="1"/>
    </row>
    <row r="154" spans="2:2" x14ac:dyDescent="0.2">
      <c r="B154" s="1"/>
    </row>
    <row r="155" spans="2:2" x14ac:dyDescent="0.2">
      <c r="B155" s="1"/>
    </row>
    <row r="156" spans="2:2" x14ac:dyDescent="0.2">
      <c r="B156" s="1"/>
    </row>
    <row r="157" spans="2:2" x14ac:dyDescent="0.2">
      <c r="B157" s="1"/>
    </row>
    <row r="158" spans="2:2" x14ac:dyDescent="0.2">
      <c r="B158" s="1"/>
    </row>
    <row r="159" spans="2:2" x14ac:dyDescent="0.2">
      <c r="B159" s="1"/>
    </row>
    <row r="160" spans="2:2" x14ac:dyDescent="0.2">
      <c r="B160" s="1"/>
    </row>
    <row r="161" spans="2:2" x14ac:dyDescent="0.2">
      <c r="B161" s="1"/>
    </row>
    <row r="162" spans="2:2" x14ac:dyDescent="0.2">
      <c r="B162" s="1"/>
    </row>
  </sheetData>
  <mergeCells count="33">
    <mergeCell ref="L55:L56"/>
    <mergeCell ref="L53:L54"/>
    <mergeCell ref="L51:L52"/>
    <mergeCell ref="L49:L50"/>
    <mergeCell ref="L47:L48"/>
    <mergeCell ref="L42:L43"/>
    <mergeCell ref="L44:L45"/>
    <mergeCell ref="L86:L87"/>
    <mergeCell ref="L82:L83"/>
    <mergeCell ref="L79:L81"/>
    <mergeCell ref="L76:L78"/>
    <mergeCell ref="L66:L67"/>
    <mergeCell ref="L64:L65"/>
    <mergeCell ref="L60:L61"/>
    <mergeCell ref="L57:L58"/>
    <mergeCell ref="L27:L28"/>
    <mergeCell ref="L29:L30"/>
    <mergeCell ref="L31:L32"/>
    <mergeCell ref="L33:L34"/>
    <mergeCell ref="L37:L38"/>
    <mergeCell ref="L39:L40"/>
    <mergeCell ref="L14:L15"/>
    <mergeCell ref="L16:L17"/>
    <mergeCell ref="L18:L19"/>
    <mergeCell ref="L21:L22"/>
    <mergeCell ref="L23:L24"/>
    <mergeCell ref="L25:L26"/>
    <mergeCell ref="L2:L3"/>
    <mergeCell ref="L4:L5"/>
    <mergeCell ref="L6:L7"/>
    <mergeCell ref="L8:L9"/>
    <mergeCell ref="L10:L11"/>
    <mergeCell ref="L12:L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Owen</dc:creator>
  <cp:lastModifiedBy>Matt Owen</cp:lastModifiedBy>
  <dcterms:created xsi:type="dcterms:W3CDTF">2021-01-11T14:29:59Z</dcterms:created>
  <dcterms:modified xsi:type="dcterms:W3CDTF">2026-10-05T11:47:45Z</dcterms:modified>
</cp:coreProperties>
</file>